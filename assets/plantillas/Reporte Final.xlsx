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abri\Documents\coding-projects\python\OTEC\OTECImprontaReports\templates\"/>
    </mc:Choice>
  </mc:AlternateContent>
  <xr:revisionPtr revIDLastSave="0" documentId="13_ncr:1_{200781A9-F807-4052-B6C3-CDB116909D8C}" xr6:coauthVersionLast="47" xr6:coauthVersionMax="47" xr10:uidLastSave="{00000000-0000-0000-0000-000000000000}"/>
  <bookViews>
    <workbookView xWindow="2640" yWindow="2640" windowWidth="28800" windowHeight="15885" xr2:uid="{00000000-000D-0000-FFFF-FFFF00000000}"/>
  </bookViews>
  <sheets>
    <sheet name="Tab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L14" i="1"/>
  <c r="L18" i="1"/>
  <c r="L17" i="1"/>
  <c r="L16" i="1"/>
  <c r="L15" i="1"/>
  <c r="L8" i="1"/>
  <c r="I3" i="1" a="1"/>
  <c r="I3" i="1" s="1"/>
  <c r="I4" i="1" a="1"/>
  <c r="I4" i="1" s="1"/>
  <c r="I5" i="1" a="1"/>
  <c r="I5" i="1" s="1"/>
  <c r="I6" i="1" a="1"/>
  <c r="I6" i="1" s="1"/>
  <c r="I7" i="1" a="1"/>
  <c r="I7" i="1" s="1"/>
  <c r="I8" i="1" a="1"/>
  <c r="I8" i="1" s="1"/>
  <c r="M8" i="1" l="1"/>
  <c r="L24" i="1"/>
  <c r="L22" i="1"/>
  <c r="L5" i="1"/>
  <c r="M5" i="1" s="1"/>
  <c r="L10" i="1" l="1"/>
  <c r="M10" i="1" s="1"/>
  <c r="L9" i="1"/>
  <c r="L6" i="1"/>
  <c r="L11" i="1"/>
  <c r="M6" i="1" l="1"/>
  <c r="L21" i="1"/>
  <c r="L23" i="1" s="1"/>
  <c r="M23" i="1" s="1"/>
  <c r="M16" i="1"/>
  <c r="M17" i="1"/>
  <c r="M11" i="1"/>
  <c r="M9" i="1"/>
  <c r="M7" i="1"/>
  <c r="M22" i="1" l="1"/>
  <c r="M24" i="1"/>
  <c r="M15" i="1"/>
  <c r="M1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<sst xmlns="http://schemas.openxmlformats.org/spreadsheetml/2006/main" count="33" uniqueCount="31">
  <si>
    <t>ID</t>
  </si>
  <si>
    <t>Nombre</t>
  </si>
  <si>
    <t>Dirección de correo</t>
  </si>
  <si>
    <t>% de Participación</t>
  </si>
  <si>
    <t>Prueba Final</t>
  </si>
  <si>
    <t>Condición</t>
  </si>
  <si>
    <t>Resumen</t>
  </si>
  <si>
    <t>Total</t>
  </si>
  <si>
    <t>Sin Participar</t>
  </si>
  <si>
    <t>Aprobados</t>
  </si>
  <si>
    <t>No Aprobados</t>
  </si>
  <si>
    <t>Reprobados</t>
  </si>
  <si>
    <t>Abandonos</t>
  </si>
  <si>
    <t>Prueba Diag.</t>
  </si>
  <si>
    <t>Identificación</t>
  </si>
  <si>
    <t>Participación</t>
  </si>
  <si>
    <t>Asistencia Zoom</t>
  </si>
  <si>
    <t>Notas</t>
  </si>
  <si>
    <t>dd-mm</t>
  </si>
  <si>
    <t>dd-mm2</t>
  </si>
  <si>
    <t>Análisis de Participación</t>
  </si>
  <si>
    <t>Partic. &lt;   40% :</t>
  </si>
  <si>
    <t>Partic. &gt;   40% :</t>
  </si>
  <si>
    <t>Partic. &gt;   80% :</t>
  </si>
  <si>
    <t>Partic. = 100% :</t>
  </si>
  <si>
    <t>2 Asistencias</t>
  </si>
  <si>
    <t>1 Asistencia</t>
  </si>
  <si>
    <t>Sin Asistir</t>
  </si>
  <si>
    <t xml:space="preserve"> (Requisito de Aprobación)</t>
  </si>
  <si>
    <t>Pendientes</t>
  </si>
  <si>
    <t>Con Nota Aprobatoria: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</si>
</sst>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 * #,##0.0_ ;_ * \-#,##0.0_ ;_ * &quot;-&quot;?_ ;_ @_ 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  <font>
      <b/>
      <sz val="11"/>
      <color theme="0"/>
      <name val="Aptos Display"/>
      <family val="2"/>
    </font>
    <font>
      <b/>
      <sz val="11"/>
      <color theme="6" tint="-0.499984740745262"/>
      <name val="Aptos Display"/>
      <family val="2"/>
    </font>
    <font>
      <sz val="11"/>
      <color theme="6" tint="-0.499984740745262"/>
      <name val="Aptos Display"/>
      <family val="2"/>
    </font>
    <font>
      <b/>
      <sz val="11"/>
      <color theme="9" tint="-0.499984740745262"/>
      <name val="Aptos Display"/>
      <family val="2"/>
    </font>
    <font>
      <sz val="11"/>
      <color theme="9" tint="-0.499984740745262"/>
      <name val="Aptos Display"/>
      <family val="2"/>
    </font>
    <font>
      <b/>
      <sz val="10"/>
      <color theme="5" tint="-0.249977111117893"/>
      <name val="Aptos Display"/>
      <family val="2"/>
    </font>
    <font>
      <sz val="10"/>
      <color theme="5" tint="-0.249977111117893"/>
      <name val="Aptos Display"/>
      <family val="2"/>
    </font>
    <font>
      <b/>
      <sz val="10"/>
      <color rgb="FF9F2B44"/>
      <name val="Aptos Display"/>
      <family val="2"/>
    </font>
    <font>
      <sz val="10"/>
      <color rgb="FF9F2B44"/>
      <name val="Aptos Display"/>
      <family val="2"/>
    </font>
    <font>
      <b/>
      <sz val="10"/>
      <color rgb="FF9F572B"/>
      <name val="Aptos Display"/>
      <family val="2"/>
    </font>
    <font>
      <sz val="10"/>
      <color rgb="FF9F572B"/>
      <name val="Aptos Display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7" tint="-0.499984740745262"/>
      <name val="Calibri"/>
      <family val="2"/>
      <scheme val="minor"/>
    </font>
    <font>
      <sz val="10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0"/>
      <color theme="6" tint="-0.249977111117893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0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u/>
      <sz val="11"/>
      <color theme="3" tint="-0.249977111117893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0"/>
      <color theme="8" tint="-0.499984740745262"/>
      <name val="Aptos Display"/>
      <family val="2"/>
    </font>
  </fonts>
  <fills count="5">
    <fill>
      <patternFill patternType="none"/>
    </fill>
    <fill>
      <patternFill patternType="gray125"/>
    </fill>
    <fill>
      <patternFill patternType="solid">
        <fgColor rgb="FF235756"/>
        <bgColor indexed="64"/>
      </patternFill>
    </fill>
    <fill>
      <patternFill patternType="solid">
        <fgColor rgb="FFF3F7F6"/>
        <bgColor indexed="64"/>
      </patternFill>
    </fill>
    <fill>
      <patternFill patternType="solid">
        <fgColor rgb="FF00330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3" xfId="0" applyBorder="1"/>
    <xf numFmtId="0" fontId="3" fillId="3" borderId="7" xfId="0" applyFont="1" applyFill="1" applyBorder="1"/>
    <xf numFmtId="0" fontId="2" fillId="3" borderId="8" xfId="0" applyFont="1" applyFill="1" applyBorder="1"/>
    <xf numFmtId="9" fontId="2" fillId="3" borderId="9" xfId="1" applyFont="1" applyFill="1" applyBorder="1"/>
    <xf numFmtId="0" fontId="5" fillId="3" borderId="10" xfId="0" applyFont="1" applyFill="1" applyBorder="1"/>
    <xf numFmtId="0" fontId="6" fillId="3" borderId="2" xfId="0" applyFont="1" applyFill="1" applyBorder="1"/>
    <xf numFmtId="9" fontId="6" fillId="3" borderId="11" xfId="1" applyFont="1" applyFill="1" applyBorder="1"/>
    <xf numFmtId="0" fontId="7" fillId="3" borderId="17" xfId="0" applyFont="1" applyFill="1" applyBorder="1"/>
    <xf numFmtId="0" fontId="8" fillId="3" borderId="18" xfId="0" applyFont="1" applyFill="1" applyBorder="1"/>
    <xf numFmtId="9" fontId="8" fillId="3" borderId="19" xfId="1" applyFont="1" applyFill="1" applyBorder="1"/>
    <xf numFmtId="0" fontId="9" fillId="3" borderId="12" xfId="0" applyFont="1" applyFill="1" applyBorder="1"/>
    <xf numFmtId="0" fontId="10" fillId="3" borderId="13" xfId="0" applyFont="1" applyFill="1" applyBorder="1"/>
    <xf numFmtId="9" fontId="10" fillId="3" borderId="14" xfId="1" applyFont="1" applyFill="1" applyBorder="1"/>
    <xf numFmtId="0" fontId="11" fillId="3" borderId="10" xfId="0" applyFont="1" applyFill="1" applyBorder="1"/>
    <xf numFmtId="0" fontId="12" fillId="3" borderId="2" xfId="0" applyFont="1" applyFill="1" applyBorder="1"/>
    <xf numFmtId="9" fontId="12" fillId="3" borderId="11" xfId="1" applyFont="1" applyFill="1" applyBorder="1"/>
    <xf numFmtId="0" fontId="13" fillId="3" borderId="15" xfId="0" applyFont="1" applyFill="1" applyBorder="1"/>
    <xf numFmtId="0" fontId="14" fillId="3" borderId="1" xfId="0" applyFont="1" applyFill="1" applyBorder="1"/>
    <xf numFmtId="9" fontId="14" fillId="3" borderId="16" xfId="1" applyFont="1" applyFill="1" applyBorder="1"/>
    <xf numFmtId="9" fontId="0" fillId="0" borderId="0" xfId="1" applyFont="1"/>
    <xf numFmtId="0" fontId="17" fillId="0" borderId="0" xfId="0" applyFont="1"/>
    <xf numFmtId="0" fontId="16" fillId="0" borderId="0" xfId="0" applyFont="1"/>
    <xf numFmtId="0" fontId="18" fillId="4" borderId="20" xfId="0" applyFont="1" applyFill="1" applyBorder="1" applyAlignment="1">
      <alignment horizontal="centerContinuous"/>
    </xf>
    <xf numFmtId="0" fontId="18" fillId="4" borderId="21" xfId="0" applyFont="1" applyFill="1" applyBorder="1" applyAlignment="1">
      <alignment horizontal="centerContinuous"/>
    </xf>
    <xf numFmtId="0" fontId="18" fillId="4" borderId="22" xfId="0" applyFont="1" applyFill="1" applyBorder="1" applyAlignment="1">
      <alignment horizontal="centerContinuous"/>
    </xf>
    <xf numFmtId="0" fontId="18" fillId="4" borderId="1" xfId="0" applyFont="1" applyFill="1" applyBorder="1" applyAlignment="1">
      <alignment horizontal="center"/>
    </xf>
    <xf numFmtId="0" fontId="19" fillId="0" borderId="0" xfId="0" applyFont="1" applyAlignment="1">
      <alignment horizontal="centerContinuous"/>
    </xf>
    <xf numFmtId="0" fontId="16" fillId="0" borderId="23" xfId="0" applyFont="1" applyBorder="1"/>
    <xf numFmtId="0" fontId="0" fillId="0" borderId="23" xfId="0" applyBorder="1"/>
    <xf numFmtId="0" fontId="20" fillId="0" borderId="0" xfId="0" applyFont="1"/>
    <xf numFmtId="0" fontId="21" fillId="0" borderId="0" xfId="0" applyFont="1"/>
    <xf numFmtId="9" fontId="21" fillId="0" borderId="0" xfId="1" applyFont="1" applyBorder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 applyAlignment="1">
      <alignment horizontal="centerContinuous"/>
    </xf>
    <xf numFmtId="0" fontId="29" fillId="0" borderId="0" xfId="0" applyFont="1" applyAlignment="1">
      <alignment horizontal="centerContinuous"/>
    </xf>
    <xf numFmtId="9" fontId="16" fillId="0" borderId="23" xfId="0" applyNumberFormat="1" applyFont="1" applyBorder="1"/>
    <xf numFmtId="9" fontId="0" fillId="0" borderId="0" xfId="0" applyNumberFormat="1"/>
    <xf numFmtId="9" fontId="21" fillId="0" borderId="0" xfId="1" applyFont="1"/>
    <xf numFmtId="9" fontId="23" fillId="0" borderId="0" xfId="1" applyFont="1"/>
    <xf numFmtId="9" fontId="25" fillId="0" borderId="0" xfId="1" applyFont="1"/>
    <xf numFmtId="9" fontId="27" fillId="0" borderId="0" xfId="1" applyFont="1"/>
    <xf numFmtId="0" fontId="30" fillId="0" borderId="0" xfId="0" applyFont="1"/>
    <xf numFmtId="164" fontId="16" fillId="0" borderId="0" xfId="0" applyNumberFormat="1" applyFont="1"/>
    <xf numFmtId="164" fontId="31" fillId="0" borderId="0" xfId="0" applyNumberFormat="1" applyFont="1"/>
    <xf numFmtId="9" fontId="16" fillId="0" borderId="0" xfId="1" applyFont="1"/>
    <xf numFmtId="0" fontId="32" fillId="3" borderId="10" xfId="0" applyFont="1" applyFill="1" applyBorder="1"/>
    <xf numFmtId="0" fontId="30" fillId="0" borderId="23" xfId="0" applyFont="1" applyBorder="1"/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22">
    <dxf>
      <font>
        <color rgb="FFFF0000"/>
      </font>
    </dxf>
    <dxf>
      <font>
        <color theme="9" tint="-0.24994659260841701"/>
      </font>
    </dxf>
    <dxf>
      <font>
        <b/>
        <i val="0"/>
        <color rgb="FFFF0000"/>
      </font>
      <numFmt numFmtId="33" formatCode="_ * #,##0_ ;_ * \-#,##0_ ;_ * &quot;-&quot;_ ;_ @_ "/>
    </dxf>
    <dxf>
      <font>
        <color theme="9" tint="-0.499984740745262"/>
      </font>
    </dxf>
    <dxf>
      <fill>
        <patternFill>
          <bgColor rgb="FFF7EAE9"/>
        </patternFill>
      </fill>
    </dxf>
    <dxf>
      <fill>
        <patternFill>
          <bgColor rgb="FFFEF1E6"/>
        </patternFill>
      </fill>
    </dxf>
    <dxf>
      <fill>
        <patternFill>
          <bgColor rgb="FFF2F0F6"/>
        </patternFill>
      </fill>
    </dxf>
    <dxf>
      <fill>
        <patternFill>
          <bgColor rgb="FFDAF6EF"/>
        </patternFill>
      </fill>
    </dxf>
    <dxf>
      <font>
        <b/>
      </font>
      <numFmt numFmtId="0" formatCode="General"/>
    </dxf>
    <dxf>
      <font>
        <b/>
      </font>
      <numFmt numFmtId="164" formatCode="_ * #,##0.0_ ;_ * \-#,##0.0_ ;_ * &quot;-&quot;?_ ;_ @_ "/>
    </dxf>
    <dxf>
      <font>
        <strike val="0"/>
        <outline val="0"/>
        <shadow val="0"/>
        <u val="none"/>
        <vertAlign val="baseline"/>
        <sz val="11"/>
        <color theme="1" tint="0.34998626667073579"/>
        <name val="Calibri"/>
        <family val="2"/>
        <scheme val="minor"/>
      </font>
      <numFmt numFmtId="164" formatCode="_ * #,##0.0_ ;_ * \-#,##0.0_ ;_ * &quot;-&quot;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i/>
      </font>
    </dxf>
    <dxf>
      <font>
        <b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color theme="1"/>
      </font>
      <fill>
        <patternFill>
          <bgColor theme="6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color theme="0"/>
      </font>
      <fill>
        <patternFill>
          <bgColor rgb="FF27672F"/>
        </patternFill>
      </fill>
      <border>
        <bottom style="thick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9" defaultPivotStyle="PivotStyleLight16">
    <tableStyle name="Estilo de tabla 1" pivot="0" count="3" xr9:uid="{3AD0B4A0-3E43-470A-B85F-1F3209CE3FF7}">
      <tableStyleElement type="wholeTable" dxfId="21"/>
      <tableStyleElement type="headerRow" dxfId="20"/>
      <tableStyleElement type="firstColumn" dxfId="19"/>
    </tableStyle>
  </tableStyles>
  <colors>
    <mruColors>
      <color rgb="FFDAF6EF"/>
      <color rgb="FFEEF7F8"/>
      <color rgb="FFF7EAE9"/>
      <color rgb="FFFEF1E6"/>
      <color rgb="FFF2F0F6"/>
      <color rgb="FFBDFF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2C639D-369A-47A1-80E7-6CC407B5E71C}" name="Tabla1" displayName="Tabla1" ref="A2:I8" totalsRowShown="0" headerRowBorderDxfId="18" tableBorderDxfId="17">
  <autoFilter ref="A2:I8" xr:uid="{D42C639D-369A-47A1-80E7-6CC407B5E71C}"/>
  <sortState xmlns:xlrd2="http://schemas.microsoft.com/office/spreadsheetml/2017/richdata2" ref="A3:I8">
    <sortCondition ref="I3:I8" customList="Aprobado,Pendiente,Reprobado,Abandono,Sin Participar"/>
  </sortState>
  <tableColumns count="9">
    <tableColumn id="1" xr3:uid="{61D6B175-9E52-48AE-9E4C-69720732511B}" name="ID" dataDxfId="16"/>
    <tableColumn id="2" xr3:uid="{C4FECDD5-FA09-47E9-9A75-138A2A96C8E7}" name="Nombre" dataDxfId="15"/>
    <tableColumn id="3" xr3:uid="{22AD437E-1F4F-4CD2-89C1-98EF5AE45495}" name="Dirección de correo" dataDxfId="14"/>
    <tableColumn id="5" xr3:uid="{78730820-9925-49CE-9499-87B6ABFAFAF5}" name="% de Participación" dataDxfId="13" dataCellStyle="Porcentaje"/>
    <tableColumn id="4" xr3:uid="{2EC0CC78-50EE-4CD5-ACA1-042B87446034}" name="dd-mm" dataDxfId="12" dataCellStyle="Porcentaje"/>
    <tableColumn id="9" xr3:uid="{B24E7BF8-62D9-4E07-92B0-143BC25DCC87}" name="dd-mm2" dataDxfId="11" dataCellStyle="Porcentaje"/>
    <tableColumn id="6" xr3:uid="{3BEDA864-88A7-46C0-880A-0ADCBE4E6DEC}" name="Prueba Diag." dataDxfId="10"/>
    <tableColumn id="7" xr3:uid="{4542CD6B-BFD8-44C2-BC49-9A6CB950B6EE}" name="Prueba Final" dataDxfId="9"/>
    <tableColumn id="8" xr3:uid="{4F72647D-2E99-419E-8B42-8526BA9EF79E}" name="Condición" dataDxfId="8">
      <calculatedColumnFormula array="1">_xlfn.IFS(Tabla1[[#This Row],[% de Participación]]=0,"Sin Participar",Tabla1[[#This Row],[Prueba Final]]=0,"Abandono",Tabla1[[#This Row],[Prueba Final]]&lt;4,"Reprobado",Tabla1[[#This Row],[% de Participación]]&lt;1,"Pendiente",Tabla1[[#This Row],[Prueba Final]],"Aprobado")</calculatedColumnFormula>
    </tableColumn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showGridLines="0" tabSelected="1" zoomScaleNormal="100" workbookViewId="0">
      <selection activeCell="B7" sqref="B7"/>
    </sheetView>
  </sheetViews>
  <sheetFormatPr baseColWidth="10" defaultColWidth="9.28515625" defaultRowHeight="15" x14ac:dyDescent="0.25"/>
  <cols>
    <col min="1" max="1" width="9.5703125" bestFit="1" customWidth="1"/>
    <col min="2" max="2" width="30.85546875" bestFit="1" customWidth="1"/>
    <col min="3" max="3" width="33.42578125" bestFit="1" customWidth="1"/>
    <col min="4" max="4" width="18.42578125" bestFit="1" customWidth="1"/>
    <col min="5" max="5" width="9.7109375" bestFit="1" customWidth="1"/>
    <col min="6" max="6" width="10.7109375" bestFit="1" customWidth="1"/>
    <col min="7" max="7" width="14.42578125" bestFit="1" customWidth="1"/>
    <col min="8" max="8" width="14.28515625" bestFit="1" customWidth="1"/>
    <col min="9" max="9" width="12.5703125" bestFit="1" customWidth="1"/>
    <col min="11" max="11" width="18.85546875" bestFit="1" customWidth="1"/>
    <col min="12" max="14" width="9.28515625" customWidth="1"/>
  </cols>
  <sheetData>
    <row r="1" spans="1:14" x14ac:dyDescent="0.25">
      <c r="A1" s="23" t="s">
        <v>14</v>
      </c>
      <c r="B1" s="24"/>
      <c r="C1" s="25"/>
      <c r="D1" s="26" t="s">
        <v>15</v>
      </c>
      <c r="E1" s="23" t="s">
        <v>16</v>
      </c>
      <c r="F1" s="25"/>
      <c r="G1" s="23" t="s">
        <v>17</v>
      </c>
      <c r="H1" s="25"/>
    </row>
    <row r="2" spans="1:14" x14ac:dyDescent="0.25">
      <c r="A2" t="s">
        <v>0</v>
      </c>
      <c r="B2" t="s">
        <v>1</v>
      </c>
      <c r="C2" t="s">
        <v>2</v>
      </c>
      <c r="D2" t="s">
        <v>3</v>
      </c>
      <c r="E2" t="s">
        <v>18</v>
      </c>
      <c r="F2" t="s">
        <v>19</v>
      </c>
      <c r="G2" t="s">
        <v>13</v>
      </c>
      <c r="H2" t="s">
        <v>4</v>
      </c>
      <c r="I2" s="1" t="s">
        <v>5</v>
      </c>
    </row>
    <row r="3" spans="1:14" ht="15.75" thickBot="1" x14ac:dyDescent="0.3">
      <c r="A3" s="21"/>
      <c r="B3" s="22"/>
      <c r="D3" s="50"/>
      <c r="E3" s="20"/>
      <c r="F3" s="20"/>
      <c r="G3" s="49"/>
      <c r="H3" s="48"/>
      <c r="I3" s="22" t="str" cm="1">
        <f t="array" ref="I3">_xlfn.IFS(Tabla1[[#This Row],[% de Participación]]=0,"Sin Participar",Tabla1[[#This Row],[Prueba Final]]=0,"Abandono",Tabla1[[#This Row],[Prueba Final]]&lt;4,"Reprobado",Tabla1[[#This Row],[% de Participación]]&lt;1,"Pendiente",Tabla1[[#This Row],[Prueba Final]],"Aprobado")</f>
        <v>Sin Participar</v>
      </c>
    </row>
    <row r="4" spans="1:14" ht="15.75" thickBot="1" x14ac:dyDescent="0.3">
      <c r="A4" s="21"/>
      <c r="B4" s="22"/>
      <c r="D4" s="50"/>
      <c r="E4" s="20"/>
      <c r="F4" s="20"/>
      <c r="G4" s="49"/>
      <c r="H4" s="48"/>
      <c r="I4" s="22" t="str" cm="1">
        <f t="array" ref="I4">_xlfn.IFS(Tabla1[[#This Row],[% de Participación]]=0,"Sin Participar",Tabla1[[#This Row],[Prueba Final]]=0,"Abandono",Tabla1[[#This Row],[Prueba Final]]&lt;4,"Reprobado",Tabla1[[#This Row],[% de Participación]]&lt;1,"Pendiente",Tabla1[[#This Row],[Prueba Final]],"Aprobado")</f>
        <v>Sin Participar</v>
      </c>
      <c r="K4" s="53" t="s">
        <v>6</v>
      </c>
      <c r="L4" s="54"/>
      <c r="M4" s="55"/>
    </row>
    <row r="5" spans="1:14" ht="15.75" thickBot="1" x14ac:dyDescent="0.3">
      <c r="A5" s="21"/>
      <c r="B5" s="22"/>
      <c r="D5" s="50"/>
      <c r="E5" s="20"/>
      <c r="F5" s="20"/>
      <c r="G5" s="49"/>
      <c r="H5" s="48"/>
      <c r="I5" s="22" t="str" cm="1">
        <f t="array" ref="I5">_xlfn.IFS(Tabla1[[#This Row],[% de Participación]]=0,"Sin Participar",Tabla1[[#This Row],[Prueba Final]]=0,"Abandono",Tabla1[[#This Row],[Prueba Final]]&lt;4,"Reprobado",Tabla1[[#This Row],[% de Participación]]&lt;1,"Pendiente",Tabla1[[#This Row],[Prueba Final]],"Aprobado")</f>
        <v>Sin Participar</v>
      </c>
      <c r="K5" s="2" t="s">
        <v>7</v>
      </c>
      <c r="L5" s="3">
        <f>COUNTA(Tabla1[Nombre])</f>
        <v>0</v>
      </c>
      <c r="M5" s="4" t="e">
        <f>L5/L5</f>
        <v>#DIV/0!</v>
      </c>
    </row>
    <row r="6" spans="1:14" ht="15.75" thickTop="1" x14ac:dyDescent="0.25">
      <c r="A6" s="21"/>
      <c r="B6" s="22"/>
      <c r="D6" s="50"/>
      <c r="E6" s="20"/>
      <c r="F6" s="20"/>
      <c r="G6" s="49"/>
      <c r="H6" s="48"/>
      <c r="I6" s="22" t="str" cm="1">
        <f t="array" ref="I6">_xlfn.IFS(Tabla1[[#This Row],[% de Participación]]=0,"Sin Participar",Tabla1[[#This Row],[Prueba Final]]=0,"Abandono",Tabla1[[#This Row],[Prueba Final]]&lt;4,"Reprobado",Tabla1[[#This Row],[% de Participación]]&lt;1,"Pendiente",Tabla1[[#This Row],[Prueba Final]],"Aprobado")</f>
        <v>Sin Participar</v>
      </c>
      <c r="K6" s="5" t="s">
        <v>9</v>
      </c>
      <c r="L6" s="6">
        <f>COUNTIF(Tabla1[Condición],"Aprobado")</f>
        <v>0</v>
      </c>
      <c r="M6" s="7" t="e">
        <f>L6/L5</f>
        <v>#DIV/0!</v>
      </c>
    </row>
    <row r="7" spans="1:14" ht="15.75" thickBot="1" x14ac:dyDescent="0.3">
      <c r="A7" s="21"/>
      <c r="B7" s="22"/>
      <c r="D7" s="50"/>
      <c r="E7" s="20"/>
      <c r="F7" s="20"/>
      <c r="G7" s="49"/>
      <c r="H7" s="48"/>
      <c r="I7" s="22" t="str" cm="1">
        <f t="array" ref="I7">_xlfn.IFS(Tabla1[[#This Row],[% de Participación]]=0,"Sin Participar",Tabla1[[#This Row],[Prueba Final]]=0,"Abandono",Tabla1[[#This Row],[Prueba Final]]&lt;4,"Reprobado",Tabla1[[#This Row],[% de Participación]]&lt;1,"Pendiente",Tabla1[[#This Row],[Prueba Final]],"Aprobado")</f>
        <v>Sin Participar</v>
      </c>
      <c r="K7" s="8" t="s">
        <v>10</v>
      </c>
      <c r="L7" s="9">
        <f>SUM(L8:L11)</f>
        <v>6</v>
      </c>
      <c r="M7" s="10" t="e">
        <f>L7/L5</f>
        <v>#DIV/0!</v>
      </c>
    </row>
    <row r="8" spans="1:14" ht="15.75" thickTop="1" x14ac:dyDescent="0.25">
      <c r="A8" s="21"/>
      <c r="B8" s="22"/>
      <c r="D8" s="50"/>
      <c r="E8" s="20"/>
      <c r="F8" s="20"/>
      <c r="G8" s="49"/>
      <c r="H8" s="48"/>
      <c r="I8" s="22" t="str" cm="1">
        <f t="array" ref="I8">_xlfn.IFS(Tabla1[[#This Row],[% de Participación]]=0,"Sin Participar",Tabla1[[#This Row],[Prueba Final]]=0,"Abandono",Tabla1[[#This Row],[Prueba Final]]&lt;4,"Reprobado",Tabla1[[#This Row],[% de Participación]]&lt;1,"Pendiente",Tabla1[[#This Row],[Prueba Final]],"Aprobado")</f>
        <v>Sin Participar</v>
      </c>
      <c r="K8" s="51" t="s">
        <v>29</v>
      </c>
      <c r="L8" s="15">
        <f>COUNTIF(Tabla1[Condición],"Pendiente")</f>
        <v>0</v>
      </c>
      <c r="M8" s="16" t="e">
        <f>L8/L5</f>
        <v>#DIV/0!</v>
      </c>
    </row>
    <row r="9" spans="1:14" x14ac:dyDescent="0.25">
      <c r="K9" s="14" t="s">
        <v>11</v>
      </c>
      <c r="L9" s="15">
        <f>COUNTIF(Tabla1[Condición],"Reprobado")</f>
        <v>0</v>
      </c>
      <c r="M9" s="16" t="e">
        <f>L9/L5</f>
        <v>#DIV/0!</v>
      </c>
    </row>
    <row r="10" spans="1:14" x14ac:dyDescent="0.25">
      <c r="K10" s="17" t="s">
        <v>12</v>
      </c>
      <c r="L10" s="18">
        <f>COUNTIF(Tabla1[Condición],"Abandono")</f>
        <v>0</v>
      </c>
      <c r="M10" s="19" t="e">
        <f>L10/L5</f>
        <v>#DIV/0!</v>
      </c>
    </row>
    <row r="11" spans="1:14" ht="15.75" thickBot="1" x14ac:dyDescent="0.3">
      <c r="K11" s="11" t="s">
        <v>8</v>
      </c>
      <c r="L11" s="12">
        <f>COUNTIF(Tabla1[Condición],"Sin Participar")</f>
        <v>6</v>
      </c>
      <c r="M11" s="13" t="e">
        <f>L11/L5</f>
        <v>#DIV/0!</v>
      </c>
    </row>
    <row r="13" spans="1:14" x14ac:dyDescent="0.25">
      <c r="K13" s="27" t="s">
        <v>20</v>
      </c>
      <c r="L13" s="27"/>
      <c r="M13" s="27"/>
    </row>
    <row r="14" spans="1:14" ht="15.75" thickBot="1" x14ac:dyDescent="0.3">
      <c r="K14" s="52" t="s">
        <v>30</v>
      </c>
      <c r="L14" s="28">
        <f>$L$6+L8</f>
        <v>0</v>
      </c>
      <c r="M14" s="29"/>
    </row>
    <row r="15" spans="1:14" ht="15.75" thickTop="1" x14ac:dyDescent="0.25">
      <c r="K15" s="37" t="s">
        <v>24</v>
      </c>
      <c r="L15" s="38">
        <f>COUNTIFS(Tabla1[Condición],"Aprobado",Tabla1[% de Participación],"=100%")+COUNTIFS(Tabla1[Condición],"Pendiente",Tabla1[% de Participación],"=100%")</f>
        <v>0</v>
      </c>
      <c r="M15" s="46" t="e">
        <f>L15/$L$14</f>
        <v>#DIV/0!</v>
      </c>
      <c r="N15" s="47" t="s">
        <v>28</v>
      </c>
    </row>
    <row r="16" spans="1:14" x14ac:dyDescent="0.25">
      <c r="K16" s="35" t="s">
        <v>23</v>
      </c>
      <c r="L16" s="36">
        <f>COUNTIFS(Tabla1[Condición],"Aprobado",Tabla1[% de Participación],"&gt;80%")+COUNTIFS(Tabla1[Condición],"Pendiente",Tabla1[% de Participación],"&gt;80%")-L15</f>
        <v>0</v>
      </c>
      <c r="M16" s="45" t="e">
        <f>L16/$L$14</f>
        <v>#DIV/0!</v>
      </c>
    </row>
    <row r="17" spans="11:13" x14ac:dyDescent="0.25">
      <c r="K17" s="33" t="s">
        <v>22</v>
      </c>
      <c r="L17" s="34">
        <f>COUNTIFS(Tabla1[Condición],"Aprobado",Tabla1[% de Participación],"&gt;=40%")+COUNTIFS(Tabla1[Condición],"Pendiente",Tabla1[% de Participación],"&gt;=40%")-L16-L15</f>
        <v>0</v>
      </c>
      <c r="M17" s="44" t="e">
        <f>L17/$L$14</f>
        <v>#DIV/0!</v>
      </c>
    </row>
    <row r="18" spans="11:13" x14ac:dyDescent="0.25">
      <c r="K18" s="30" t="s">
        <v>21</v>
      </c>
      <c r="L18" s="31">
        <f>COUNTIFS(Tabla1[Condición],"Aprobado",Tabla1[% de Participación],"&lt;40%")+COUNTIFS(Tabla1[Condición],"Pendiente",Tabla1[% de Participación],"&lt;40%")</f>
        <v>0</v>
      </c>
      <c r="M18" s="43" t="e">
        <f>L18/$L$14</f>
        <v>#DIV/0!</v>
      </c>
    </row>
    <row r="19" spans="11:13" x14ac:dyDescent="0.25">
      <c r="K19" s="37"/>
      <c r="L19" s="38"/>
      <c r="M19" s="32"/>
    </row>
    <row r="20" spans="11:13" x14ac:dyDescent="0.25">
      <c r="K20" s="39" t="s">
        <v>16</v>
      </c>
      <c r="L20" s="40"/>
      <c r="M20" s="40"/>
    </row>
    <row r="21" spans="11:13" ht="15.75" thickBot="1" x14ac:dyDescent="0.3">
      <c r="K21" s="28" t="s">
        <v>9</v>
      </c>
      <c r="L21" s="28">
        <f>$L$6</f>
        <v>0</v>
      </c>
      <c r="M21" s="41"/>
    </row>
    <row r="22" spans="11:13" ht="15.75" thickTop="1" x14ac:dyDescent="0.25">
      <c r="K22" t="s">
        <v>25</v>
      </c>
      <c r="L22">
        <f>COUNTIFS(Tabla1[Condición],"Aprobado",Tabla1[dd-mm],1,Tabla1[dd-mm2],1)</f>
        <v>0</v>
      </c>
      <c r="M22" s="42" t="e">
        <f>L22/$L$21</f>
        <v>#DIV/0!</v>
      </c>
    </row>
    <row r="23" spans="11:13" x14ac:dyDescent="0.25">
      <c r="K23" t="s">
        <v>26</v>
      </c>
      <c r="L23">
        <f>L21-L22-L24</f>
        <v>0</v>
      </c>
      <c r="M23" s="42" t="e">
        <f t="shared" ref="M23:M24" si="0">L23/$L$21</f>
        <v>#DIV/0!</v>
      </c>
    </row>
    <row r="24" spans="11:13" x14ac:dyDescent="0.25">
      <c r="K24" t="s">
        <v>27</v>
      </c>
      <c r="L24">
        <f>COUNTIFS(Tabla1[Condición],"Aprobado",Tabla1[dd-mm],0,Tabla1[dd-mm2],0)</f>
        <v>0</v>
      </c>
      <c r="M24" s="42" t="e">
        <f t="shared" si="0"/>
        <v>#DIV/0!</v>
      </c>
    </row>
  </sheetData>
  <mergeCells count="1">
    <mergeCell ref="K4:M4"/>
  </mergeCells>
  <phoneticPr fontId="15" type="noConversion"/>
  <conditionalFormatting sqref="A3:I8">
    <cfRule type="expression" dxfId="7" priority="2">
      <formula>$I3="Pendiente"</formula>
    </cfRule>
    <cfRule type="expression" dxfId="6" priority="6">
      <formula>$I3="Reprobado"</formula>
    </cfRule>
    <cfRule type="expression" dxfId="5" priority="7">
      <formula>$I3="Abandono"</formula>
    </cfRule>
    <cfRule type="expression" dxfId="4" priority="8">
      <formula>$I3="Sin Participar"</formula>
    </cfRule>
  </conditionalFormatting>
  <conditionalFormatting sqref="D3:D8">
    <cfRule type="expression" dxfId="3" priority="1">
      <formula>$D3&lt;1</formula>
    </cfRule>
  </conditionalFormatting>
  <conditionalFormatting sqref="D3:F8">
    <cfRule type="expression" dxfId="2" priority="5">
      <formula>D3=0</formula>
    </cfRule>
  </conditionalFormatting>
  <conditionalFormatting sqref="G3:G8">
    <cfRule type="expression" dxfId="1" priority="9">
      <formula>G3=0</formula>
    </cfRule>
  </conditionalFormatting>
  <conditionalFormatting sqref="H3:H8">
    <cfRule type="expression" dxfId="0" priority="10">
      <formula>H3=0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149ADD9D-8BFD-426E-8456-6A399076B7BE}">
            <x14:iconSet iconSet="5Arrows" custom="1">
              <x14:cfvo type="percent">
                <xm:f>0</xm:f>
              </x14:cfvo>
              <x14:cfvo type="num" gte="0">
                <xm:f>0</xm:f>
              </x14:cfvo>
              <x14:cfvo type="num">
                <xm:f>0.4</xm:f>
              </x14:cfvo>
              <x14:cfvo type="num">
                <xm:f>0.8</xm:f>
              </x14:cfvo>
              <x14:cfvo type="num">
                <xm:f>1</xm:f>
              </x14:cfvo>
              <x14:cfIcon iconSet="4TrafficLights" iconId="0"/>
              <x14:cfIcon iconSet="3TrafficLights1" iconId="0"/>
              <x14:cfIcon iconSet="3TrafficLights1" iconId="1"/>
              <x14:cfIcon iconSet="3TrafficLights1" iconId="2"/>
              <x14:cfIcon iconSet="3Symbols" iconId="2"/>
            </x14:iconSet>
          </x14:cfRule>
          <xm:sqref>D3:D8</xm:sqref>
        </x14:conditionalFormatting>
        <x14:conditionalFormatting xmlns:xm="http://schemas.microsoft.com/office/excel/2006/main">
          <x14:cfRule type="iconSet" priority="3" id="{A2A4BBF0-BD32-4209-935F-A9D7A23FD00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4TrafficLights" iconId="0"/>
              <x14:cfIcon iconSet="3Symbols" iconId="2"/>
            </x14:iconSet>
          </x14:cfRule>
          <xm:sqref>E3:F8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Burgos</cp:lastModifiedBy>
  <dcterms:created xsi:type="dcterms:W3CDTF">2025-11-10T15:27:31Z</dcterms:created>
  <dcterms:modified xsi:type="dcterms:W3CDTF">2025-12-26T16:31:48Z</dcterms:modified>
</cp:coreProperties>
</file>