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abri\Documents\coding-projects\python\OTEC\OTECImprontaReports\templates\"/>
    </mc:Choice>
  </mc:AlternateContent>
  <xr:revisionPtr revIDLastSave="0" documentId="13_ncr:1_{F90D263F-F773-4967-9D3F-D04E5DCF5B46}" xr6:coauthVersionLast="47" xr6:coauthVersionMax="47" xr10:uidLastSave="{00000000-0000-0000-0000-000000000000}"/>
  <bookViews>
    <workbookView xWindow="3420" yWindow="3420" windowWidth="28800" windowHeight="15780" xr2:uid="{00000000-000D-0000-FFFF-FFFF00000000}"/>
  </bookViews>
  <sheets>
    <sheet name="Tabl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1" l="1"/>
  <c r="K11" i="1"/>
  <c r="J10" i="1"/>
  <c r="G13" i="1"/>
  <c r="G17" i="1"/>
  <c r="G8" i="1"/>
  <c r="G14" i="1"/>
  <c r="G15" i="1"/>
  <c r="G22" i="1"/>
  <c r="G16" i="1"/>
  <c r="G9" i="1"/>
  <c r="G10" i="1"/>
  <c r="G11" i="1"/>
  <c r="G4" i="1"/>
  <c r="G18" i="1"/>
  <c r="G5" i="1"/>
  <c r="G6" i="1"/>
  <c r="G21" i="1"/>
  <c r="G12" i="1"/>
  <c r="G3" i="1"/>
  <c r="J11" i="1" s="1"/>
  <c r="G19" i="1"/>
  <c r="G20" i="1"/>
  <c r="G7" i="1"/>
  <c r="J5" i="1"/>
  <c r="K5" i="1" s="1"/>
  <c r="J14" i="1" l="1"/>
  <c r="J20" i="1"/>
  <c r="J18" i="1"/>
  <c r="J6" i="1"/>
  <c r="J7" i="1"/>
  <c r="K7" i="1" s="1"/>
  <c r="K14" i="1" l="1"/>
  <c r="J12" i="1"/>
  <c r="K6" i="1"/>
  <c r="J17" i="1"/>
  <c r="J19" i="1" s="1"/>
  <c r="K19" i="1" s="1"/>
  <c r="K20" i="1" l="1"/>
  <c r="K18" i="1"/>
  <c r="J13" i="1"/>
  <c r="K12" i="1"/>
</calcChain>
</file>

<file path=xl/sharedStrings.xml><?xml version="1.0" encoding="utf-8"?>
<sst xmlns="http://schemas.openxmlformats.org/spreadsheetml/2006/main" count="26" uniqueCount="23">
  <si>
    <t>ID</t>
  </si>
  <si>
    <t>Nombre</t>
  </si>
  <si>
    <t>Dirección de correo</t>
  </si>
  <si>
    <t>% de Participación</t>
  </si>
  <si>
    <t>Condición</t>
  </si>
  <si>
    <t>Resumen</t>
  </si>
  <si>
    <t>Total</t>
  </si>
  <si>
    <t>Sin Participar</t>
  </si>
  <si>
    <t>Participando</t>
  </si>
  <si>
    <t>Participación</t>
  </si>
  <si>
    <t>Asistencia Zoom</t>
  </si>
  <si>
    <t>Identificación</t>
  </si>
  <si>
    <t>2 Asistencias</t>
  </si>
  <si>
    <t>1 Asistencia</t>
  </si>
  <si>
    <t>Sin Asistir</t>
  </si>
  <si>
    <t>Análisis de Participación</t>
  </si>
  <si>
    <t>Partic. &lt;   40% :</t>
  </si>
  <si>
    <t>Partic. &gt;   40% :</t>
  </si>
  <si>
    <t>Partic. &gt;   80% :</t>
  </si>
  <si>
    <t>Partic. = 100% :</t>
  </si>
  <si>
    <t xml:space="preserve"> (Requisito de Aprobación)</t>
  </si>
  <si>
    <t>dd-mm</t>
  </si>
  <si>
    <t>dd-mm2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</si>
</sst>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ptos Display"/>
      <family val="2"/>
    </font>
    <font>
      <b/>
      <sz val="11"/>
      <color theme="1"/>
      <name val="Aptos Display"/>
      <family val="2"/>
    </font>
    <font>
      <b/>
      <sz val="11"/>
      <color theme="0"/>
      <name val="Aptos Display"/>
      <family val="2"/>
    </font>
    <font>
      <b/>
      <sz val="11"/>
      <color theme="6" tint="-0.499984740745262"/>
      <name val="Aptos Display"/>
      <family val="2"/>
    </font>
    <font>
      <sz val="11"/>
      <color theme="6" tint="-0.499984740745262"/>
      <name val="Aptos Display"/>
      <family val="2"/>
    </font>
    <font>
      <b/>
      <sz val="11"/>
      <color theme="9" tint="-0.499984740745262"/>
      <name val="Aptos Display"/>
      <family val="2"/>
    </font>
    <font>
      <sz val="11"/>
      <color theme="9" tint="-0.499984740745262"/>
      <name val="Aptos Display"/>
      <family val="2"/>
    </font>
    <font>
      <sz val="10"/>
      <color theme="5" tint="-0.249977111117893"/>
      <name val="Aptos Display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3" tint="-0.249977111117893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7" tint="-0.499984740745262"/>
      <name val="Calibri"/>
      <family val="2"/>
      <scheme val="minor"/>
    </font>
    <font>
      <sz val="10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0"/>
      <color theme="9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0"/>
      <color theme="6" tint="-0.249977111117893"/>
      <name val="Calibri"/>
      <family val="2"/>
      <scheme val="minor"/>
    </font>
    <font>
      <sz val="11"/>
      <color theme="6" tint="-0.249977111117893"/>
      <name val="Calibri"/>
      <family val="2"/>
      <scheme val="minor"/>
    </font>
    <font>
      <sz val="10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35756"/>
        <bgColor indexed="64"/>
      </patternFill>
    </fill>
    <fill>
      <patternFill patternType="solid">
        <fgColor rgb="FFF3F7F6"/>
        <bgColor indexed="64"/>
      </patternFill>
    </fill>
    <fill>
      <patternFill patternType="solid">
        <fgColor rgb="FF003300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2" xfId="0" applyBorder="1"/>
    <xf numFmtId="0" fontId="3" fillId="3" borderId="6" xfId="0" applyFont="1" applyFill="1" applyBorder="1"/>
    <xf numFmtId="0" fontId="2" fillId="3" borderId="7" xfId="0" applyFont="1" applyFill="1" applyBorder="1"/>
    <xf numFmtId="9" fontId="2" fillId="3" borderId="8" xfId="1" applyFont="1" applyFill="1" applyBorder="1"/>
    <xf numFmtId="0" fontId="5" fillId="3" borderId="9" xfId="0" applyFont="1" applyFill="1" applyBorder="1"/>
    <xf numFmtId="0" fontId="6" fillId="3" borderId="1" xfId="0" applyFont="1" applyFill="1" applyBorder="1"/>
    <xf numFmtId="9" fontId="6" fillId="3" borderId="10" xfId="1" applyFont="1" applyFill="1" applyBorder="1"/>
    <xf numFmtId="0" fontId="9" fillId="3" borderId="12" xfId="0" applyFont="1" applyFill="1" applyBorder="1"/>
    <xf numFmtId="9" fontId="0" fillId="0" borderId="0" xfId="1" applyFont="1"/>
    <xf numFmtId="0" fontId="12" fillId="0" borderId="0" xfId="0" applyFont="1"/>
    <xf numFmtId="0" fontId="11" fillId="0" borderId="0" xfId="0" applyFont="1"/>
    <xf numFmtId="0" fontId="7" fillId="3" borderId="11" xfId="0" applyFont="1" applyFill="1" applyBorder="1"/>
    <xf numFmtId="9" fontId="8" fillId="3" borderId="13" xfId="1" applyFont="1" applyFill="1" applyBorder="1"/>
    <xf numFmtId="0" fontId="14" fillId="0" borderId="0" xfId="0" applyFont="1"/>
    <xf numFmtId="0" fontId="13" fillId="4" borderId="15" xfId="0" applyFont="1" applyFill="1" applyBorder="1" applyAlignment="1">
      <alignment horizontal="centerContinuous"/>
    </xf>
    <xf numFmtId="0" fontId="13" fillId="4" borderId="14" xfId="0" applyFont="1" applyFill="1" applyBorder="1" applyAlignment="1">
      <alignment horizontal="center"/>
    </xf>
    <xf numFmtId="0" fontId="13" fillId="4" borderId="16" xfId="0" applyFont="1" applyFill="1" applyBorder="1" applyAlignment="1">
      <alignment horizontal="centerContinuous"/>
    </xf>
    <xf numFmtId="0" fontId="13" fillId="4" borderId="17" xfId="0" applyFont="1" applyFill="1" applyBorder="1" applyAlignment="1">
      <alignment horizontal="centerContinuous"/>
    </xf>
    <xf numFmtId="0" fontId="0" fillId="0" borderId="0" xfId="1" applyNumberFormat="1" applyFont="1" applyFill="1" applyAlignment="1">
      <alignment horizontal="center"/>
    </xf>
    <xf numFmtId="0" fontId="15" fillId="0" borderId="0" xfId="0" applyFont="1" applyAlignment="1">
      <alignment horizontal="centerContinuous"/>
    </xf>
    <xf numFmtId="0" fontId="16" fillId="0" borderId="0" xfId="0" applyFont="1" applyAlignment="1">
      <alignment horizontal="centerContinuous"/>
    </xf>
    <xf numFmtId="0" fontId="11" fillId="0" borderId="18" xfId="0" applyFont="1" applyBorder="1"/>
    <xf numFmtId="9" fontId="11" fillId="0" borderId="18" xfId="0" applyNumberFormat="1" applyFont="1" applyBorder="1"/>
    <xf numFmtId="9" fontId="0" fillId="0" borderId="0" xfId="0" applyNumberFormat="1"/>
    <xf numFmtId="0" fontId="17" fillId="0" borderId="0" xfId="0" applyFont="1" applyAlignment="1">
      <alignment horizontal="centerContinuous"/>
    </xf>
    <xf numFmtId="0" fontId="0" fillId="0" borderId="18" xfId="0" applyBorder="1"/>
    <xf numFmtId="0" fontId="18" fillId="0" borderId="0" xfId="0" applyFont="1"/>
    <xf numFmtId="0" fontId="19" fillId="0" borderId="0" xfId="0" applyFont="1"/>
    <xf numFmtId="9" fontId="19" fillId="0" borderId="0" xfId="1" applyFont="1" applyBorder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9" fontId="19" fillId="0" borderId="0" xfId="1" applyFont="1"/>
    <xf numFmtId="9" fontId="21" fillId="0" borderId="0" xfId="1" applyFont="1"/>
    <xf numFmtId="9" fontId="23" fillId="0" borderId="0" xfId="1" applyFont="1"/>
    <xf numFmtId="9" fontId="25" fillId="0" borderId="0" xfId="1" applyFont="1"/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15">
    <dxf>
      <font>
        <color theme="9" tint="-0.499984740745262"/>
      </font>
    </dxf>
    <dxf>
      <fill>
        <patternFill>
          <bgColor rgb="FFFEEFE2"/>
        </patternFill>
      </fill>
    </dxf>
    <dxf>
      <fill>
        <patternFill>
          <bgColor rgb="FFFEEFE2"/>
        </patternFill>
      </fill>
    </dxf>
    <dxf>
      <font>
        <b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</font>
    </dxf>
    <dxf>
      <font>
        <i/>
      </font>
    </dxf>
    <dxf>
      <font>
        <b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color theme="1"/>
      </font>
      <fill>
        <patternFill>
          <bgColor theme="6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color theme="0"/>
      </font>
      <fill>
        <patternFill>
          <bgColor rgb="FF27672F"/>
        </patternFill>
      </fill>
      <border>
        <bottom style="thick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9" defaultPivotStyle="PivotStyleLight16">
    <tableStyle name="Estilo de tabla 1" pivot="0" count="3" xr9:uid="{3AD0B4A0-3E43-470A-B85F-1F3209CE3FF7}">
      <tableStyleElement type="wholeTable" dxfId="14"/>
      <tableStyleElement type="headerRow" dxfId="13"/>
      <tableStyleElement type="firstColumn" dxfId="12"/>
    </tableStyle>
  </tableStyles>
  <colors>
    <mruColors>
      <color rgb="FFFFFFCC"/>
      <color rgb="FFFEEFE2"/>
      <color rgb="FFBDFF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2C639D-369A-47A1-80E7-6CC407B5E71C}" name="Tabla1" displayName="Tabla1" ref="A2:G22" totalsRowShown="0" headerRowBorderDxfId="11" tableBorderDxfId="10">
  <autoFilter ref="A2:G22" xr:uid="{D42C639D-369A-47A1-80E7-6CC407B5E71C}"/>
  <sortState xmlns:xlrd2="http://schemas.microsoft.com/office/spreadsheetml/2017/richdata2" ref="A3:G22">
    <sortCondition descending="1" ref="D2:D22"/>
  </sortState>
  <tableColumns count="7">
    <tableColumn id="1" xr3:uid="{61D6B175-9E52-48AE-9E4C-69720732511B}" name="ID" dataDxfId="9"/>
    <tableColumn id="2" xr3:uid="{C4FECDD5-FA09-47E9-9A75-138A2A96C8E7}" name="Nombre" dataDxfId="8"/>
    <tableColumn id="3" xr3:uid="{22AD437E-1F4F-4CD2-89C1-98EF5AE45495}" name="Dirección de correo" dataDxfId="7"/>
    <tableColumn id="5" xr3:uid="{78730820-9925-49CE-9499-87B6ABFAFAF5}" name="% de Participación" dataDxfId="6" dataCellStyle="Porcentaje"/>
    <tableColumn id="6" xr3:uid="{8B725A91-3840-409D-88EE-5ADEFEFE35B7}" name="dd-mm" dataDxfId="5" dataCellStyle="Porcentaje"/>
    <tableColumn id="4" xr3:uid="{37E98798-3A6D-4443-A581-00DA2E778C0F}" name="dd-mm2" dataDxfId="4" dataCellStyle="Porcentaje"/>
    <tableColumn id="8" xr3:uid="{4F72647D-2E99-419E-8B42-8526BA9EF79E}" name="Condición" dataDxfId="3">
      <calculatedColumnFormula>IF(Tabla1[[#This Row],[% de Participación]]=0,"Sin Participar","Participando")</calculatedColumnFormula>
    </tableColumn>
  </tableColumns>
  <tableStyleInfo name="Estilo de tabla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showGridLines="0" tabSelected="1" zoomScaleNormal="100" workbookViewId="0">
      <selection activeCell="K14" sqref="K14"/>
    </sheetView>
  </sheetViews>
  <sheetFormatPr baseColWidth="10" defaultColWidth="9.28515625" defaultRowHeight="15" x14ac:dyDescent="0.25"/>
  <cols>
    <col min="1" max="1" width="10.5703125" bestFit="1" customWidth="1"/>
    <col min="2" max="2" width="33.140625" bestFit="1" customWidth="1"/>
    <col min="3" max="3" width="34.28515625" bestFit="1" customWidth="1"/>
    <col min="4" max="4" width="19.5703125" bestFit="1" customWidth="1"/>
    <col min="5" max="6" width="8.5703125" bestFit="1" customWidth="1"/>
    <col min="7" max="7" width="12.5703125" bestFit="1" customWidth="1"/>
    <col min="8" max="8" width="9.28515625" customWidth="1"/>
    <col min="9" max="9" width="13.5703125" bestFit="1" customWidth="1"/>
    <col min="10" max="10" width="9.28515625" customWidth="1"/>
  </cols>
  <sheetData>
    <row r="1" spans="1:12" x14ac:dyDescent="0.25">
      <c r="A1" s="17" t="s">
        <v>11</v>
      </c>
      <c r="B1" s="18"/>
      <c r="C1" s="15"/>
      <c r="D1" s="16" t="s">
        <v>9</v>
      </c>
      <c r="E1" s="17" t="s">
        <v>10</v>
      </c>
      <c r="F1" s="15"/>
    </row>
    <row r="2" spans="1:12" x14ac:dyDescent="0.25">
      <c r="A2" t="s">
        <v>0</v>
      </c>
      <c r="B2" t="s">
        <v>1</v>
      </c>
      <c r="C2" t="s">
        <v>2</v>
      </c>
      <c r="D2" t="s">
        <v>3</v>
      </c>
      <c r="E2" t="s">
        <v>21</v>
      </c>
      <c r="F2" t="s">
        <v>22</v>
      </c>
      <c r="G2" s="1" t="s">
        <v>4</v>
      </c>
    </row>
    <row r="3" spans="1:12" ht="15.75" thickBot="1" x14ac:dyDescent="0.3">
      <c r="A3" s="10"/>
      <c r="B3" s="11"/>
      <c r="D3" s="9"/>
      <c r="E3" s="19"/>
      <c r="F3" s="19"/>
      <c r="G3" s="11" t="str">
        <f>IF(Tabla1[[#This Row],[% de Participación]]=0,"Sin Participar","Participando")</f>
        <v>Sin Participar</v>
      </c>
    </row>
    <row r="4" spans="1:12" ht="15.75" thickBot="1" x14ac:dyDescent="0.3">
      <c r="A4" s="10"/>
      <c r="B4" s="11"/>
      <c r="C4" s="14"/>
      <c r="D4" s="9"/>
      <c r="E4" s="19"/>
      <c r="F4" s="19"/>
      <c r="G4" s="11" t="str">
        <f>IF(Tabla1[[#This Row],[% de Participación]]=0,"Sin Participar","Participando")</f>
        <v>Sin Participar</v>
      </c>
      <c r="I4" s="41" t="s">
        <v>5</v>
      </c>
      <c r="J4" s="42"/>
      <c r="K4" s="43"/>
    </row>
    <row r="5" spans="1:12" ht="15.75" thickBot="1" x14ac:dyDescent="0.3">
      <c r="A5" s="10"/>
      <c r="B5" s="11"/>
      <c r="C5" s="14"/>
      <c r="D5" s="9"/>
      <c r="E5" s="19"/>
      <c r="F5" s="19"/>
      <c r="G5" s="11" t="str">
        <f>IF(Tabla1[[#This Row],[% de Participación]]=0,"Sin Participar","Participando")</f>
        <v>Sin Participar</v>
      </c>
      <c r="I5" s="2" t="s">
        <v>6</v>
      </c>
      <c r="J5" s="3">
        <f>COUNTA(Tabla1[Nombre])</f>
        <v>0</v>
      </c>
      <c r="K5" s="4" t="e">
        <f>J5/J5</f>
        <v>#DIV/0!</v>
      </c>
    </row>
    <row r="6" spans="1:12" ht="15.75" thickTop="1" x14ac:dyDescent="0.25">
      <c r="A6" s="10"/>
      <c r="B6" s="11"/>
      <c r="C6" s="14"/>
      <c r="D6" s="9"/>
      <c r="E6" s="19"/>
      <c r="F6" s="19"/>
      <c r="G6" s="11" t="str">
        <f>IF(Tabla1[[#This Row],[% de Participación]]=0,"Sin Participar","Participando")</f>
        <v>Sin Participar</v>
      </c>
      <c r="I6" s="5" t="s">
        <v>8</v>
      </c>
      <c r="J6" s="6">
        <f>COUNTIF(Tabla1[Condición],"Participando")</f>
        <v>0</v>
      </c>
      <c r="K6" s="7" t="e">
        <f>J6/J5</f>
        <v>#DIV/0!</v>
      </c>
    </row>
    <row r="7" spans="1:12" ht="15.75" thickBot="1" x14ac:dyDescent="0.3">
      <c r="A7" s="10"/>
      <c r="B7" s="11"/>
      <c r="D7" s="9"/>
      <c r="E7" s="19"/>
      <c r="F7" s="19"/>
      <c r="G7" s="11" t="str">
        <f>IF(Tabla1[[#This Row],[% de Participación]]=0,"Sin Participar","Participando")</f>
        <v>Sin Participar</v>
      </c>
      <c r="I7" s="12" t="s">
        <v>7</v>
      </c>
      <c r="J7" s="8">
        <f>COUNTIF(Tabla1[Condición],"Sin Participar")</f>
        <v>20</v>
      </c>
      <c r="K7" s="13" t="e">
        <f>J7/J5</f>
        <v>#DIV/0!</v>
      </c>
    </row>
    <row r="8" spans="1:12" x14ac:dyDescent="0.25">
      <c r="A8" s="10"/>
      <c r="B8" s="11"/>
      <c r="C8" s="14"/>
      <c r="D8" s="9"/>
      <c r="E8" s="19"/>
      <c r="F8" s="19"/>
      <c r="G8" s="11" t="str">
        <f>IF(Tabla1[[#This Row],[% de Participación]]=0,"Sin Participar","Participando")</f>
        <v>Sin Participar</v>
      </c>
    </row>
    <row r="9" spans="1:12" x14ac:dyDescent="0.25">
      <c r="A9" s="10"/>
      <c r="B9" s="11"/>
      <c r="C9" s="14"/>
      <c r="D9" s="9"/>
      <c r="E9" s="19"/>
      <c r="F9" s="19"/>
      <c r="G9" s="11" t="str">
        <f>IF(Tabla1[[#This Row],[% de Participación]]=0,"Sin Participar","Participando")</f>
        <v>Sin Participar</v>
      </c>
      <c r="I9" s="25" t="s">
        <v>15</v>
      </c>
      <c r="J9" s="25"/>
      <c r="K9" s="25"/>
    </row>
    <row r="10" spans="1:12" ht="15.75" thickBot="1" x14ac:dyDescent="0.3">
      <c r="A10" s="10"/>
      <c r="B10" s="11"/>
      <c r="C10" s="14"/>
      <c r="D10" s="9"/>
      <c r="E10" s="19"/>
      <c r="F10" s="19"/>
      <c r="G10" s="11" t="str">
        <f>IF(Tabla1[[#This Row],[% de Participación]]=0,"Sin Participar","Participando")</f>
        <v>Sin Participar</v>
      </c>
      <c r="I10" s="22" t="s">
        <v>8</v>
      </c>
      <c r="J10" s="22">
        <f>J6</f>
        <v>0</v>
      </c>
      <c r="K10" s="26"/>
    </row>
    <row r="11" spans="1:12" ht="15.75" thickTop="1" x14ac:dyDescent="0.25">
      <c r="A11" s="10"/>
      <c r="B11" s="11"/>
      <c r="C11" s="14"/>
      <c r="D11" s="9"/>
      <c r="E11" s="19"/>
      <c r="F11" s="19"/>
      <c r="G11" s="11" t="str">
        <f>IF(Tabla1[[#This Row],[% de Participación]]=0,"Sin Participar","Participando")</f>
        <v>Sin Participar</v>
      </c>
      <c r="I11" s="34" t="s">
        <v>19</v>
      </c>
      <c r="J11" s="35">
        <f>COUNTIFS(Tabla1[Condición],"Participando",Tabla1[% de Participación],"=100%")</f>
        <v>0</v>
      </c>
      <c r="K11" s="40" t="e">
        <f>J11/$J$10</f>
        <v>#DIV/0!</v>
      </c>
      <c r="L11" s="36" t="s">
        <v>20</v>
      </c>
    </row>
    <row r="12" spans="1:12" x14ac:dyDescent="0.25">
      <c r="A12" s="10"/>
      <c r="B12" s="11"/>
      <c r="D12" s="9"/>
      <c r="E12" s="19"/>
      <c r="F12" s="19"/>
      <c r="G12" s="11" t="str">
        <f>IF(Tabla1[[#This Row],[% de Participación]]=0,"Sin Participar","Participando")</f>
        <v>Sin Participar</v>
      </c>
      <c r="I12" s="32" t="s">
        <v>18</v>
      </c>
      <c r="J12" s="33">
        <f>COUNTIFS(Tabla1[Condición],"Participando",Tabla1[% de Participación],"&gt;80%")-J11</f>
        <v>0</v>
      </c>
      <c r="K12" s="39" t="e">
        <f>J12/$J$10</f>
        <v>#DIV/0!</v>
      </c>
    </row>
    <row r="13" spans="1:12" x14ac:dyDescent="0.25">
      <c r="A13" s="10"/>
      <c r="B13" s="11"/>
      <c r="C13" s="14"/>
      <c r="D13" s="9"/>
      <c r="E13" s="19"/>
      <c r="F13" s="19"/>
      <c r="G13" s="11" t="str">
        <f>IF(Tabla1[[#This Row],[% de Participación]]=0,"Sin Participar","Participando")</f>
        <v>Sin Participar</v>
      </c>
      <c r="I13" s="30" t="s">
        <v>17</v>
      </c>
      <c r="J13" s="31">
        <f>COUNTIFS(Tabla1[Condición],"Participando",Tabla1[% de Participación],"&gt;=40%")-J12-J11</f>
        <v>0</v>
      </c>
      <c r="K13" s="38" t="e">
        <f>J13/$J$10</f>
        <v>#DIV/0!</v>
      </c>
    </row>
    <row r="14" spans="1:12" x14ac:dyDescent="0.25">
      <c r="A14" s="10"/>
      <c r="B14" s="11"/>
      <c r="C14" s="14"/>
      <c r="D14" s="9"/>
      <c r="E14" s="19"/>
      <c r="F14" s="19"/>
      <c r="G14" s="11" t="str">
        <f>IF(Tabla1[[#This Row],[% de Participación]]=0,"Sin Participar","Participando")</f>
        <v>Sin Participar</v>
      </c>
      <c r="I14" s="27" t="s">
        <v>16</v>
      </c>
      <c r="J14" s="28">
        <f>COUNTIFS(Tabla1[Condición],"Participando",Tabla1[% de Participación],"&lt;40%")</f>
        <v>0</v>
      </c>
      <c r="K14" s="37" t="e">
        <f>J14/$J$10</f>
        <v>#DIV/0!</v>
      </c>
    </row>
    <row r="15" spans="1:12" x14ac:dyDescent="0.25">
      <c r="A15" s="10"/>
      <c r="B15" s="11"/>
      <c r="C15" s="14"/>
      <c r="D15" s="9"/>
      <c r="E15" s="19"/>
      <c r="F15" s="19"/>
      <c r="G15" s="11" t="str">
        <f>IF(Tabla1[[#This Row],[% de Participación]]=0,"Sin Participar","Participando")</f>
        <v>Sin Participar</v>
      </c>
      <c r="I15" s="34"/>
      <c r="J15" s="35"/>
      <c r="K15" s="29"/>
    </row>
    <row r="16" spans="1:12" x14ac:dyDescent="0.25">
      <c r="A16" s="10"/>
      <c r="B16" s="11"/>
      <c r="C16" s="14"/>
      <c r="D16" s="9"/>
      <c r="E16" s="19"/>
      <c r="F16" s="19"/>
      <c r="G16" s="11" t="str">
        <f>IF(Tabla1[[#This Row],[% de Participación]]=0,"Sin Participar","Participando")</f>
        <v>Sin Participar</v>
      </c>
      <c r="I16" s="20" t="s">
        <v>10</v>
      </c>
      <c r="J16" s="21"/>
      <c r="K16" s="21"/>
    </row>
    <row r="17" spans="1:11" ht="15.75" thickBot="1" x14ac:dyDescent="0.3">
      <c r="A17" s="10"/>
      <c r="B17" s="11"/>
      <c r="C17" s="14"/>
      <c r="D17" s="9"/>
      <c r="E17" s="19"/>
      <c r="F17" s="19"/>
      <c r="G17" s="11" t="str">
        <f>IF(Tabla1[[#This Row],[% de Participación]]=0,"Sin Participar","Participando")</f>
        <v>Sin Participar</v>
      </c>
      <c r="I17" s="22" t="s">
        <v>8</v>
      </c>
      <c r="J17" s="22">
        <f>J6</f>
        <v>0</v>
      </c>
      <c r="K17" s="23"/>
    </row>
    <row r="18" spans="1:11" ht="15.75" thickTop="1" x14ac:dyDescent="0.25">
      <c r="A18" s="10"/>
      <c r="B18" s="11"/>
      <c r="C18" s="14"/>
      <c r="D18" s="9"/>
      <c r="E18" s="19"/>
      <c r="F18" s="19"/>
      <c r="G18" s="11" t="str">
        <f>IF(Tabla1[[#This Row],[% de Participación]]=0,"Sin Participar","Participando")</f>
        <v>Sin Participar</v>
      </c>
      <c r="I18" t="s">
        <v>12</v>
      </c>
      <c r="J18">
        <f>COUNTIFS(Tabla1[Condición],"Participando",Tabla1[dd-mm],1,Tabla1[dd-mm2],1)</f>
        <v>0</v>
      </c>
      <c r="K18" s="24" t="e">
        <f>J18/$J$17</f>
        <v>#DIV/0!</v>
      </c>
    </row>
    <row r="19" spans="1:11" x14ac:dyDescent="0.25">
      <c r="A19" s="10"/>
      <c r="B19" s="11"/>
      <c r="D19" s="9"/>
      <c r="E19" s="19"/>
      <c r="F19" s="19"/>
      <c r="G19" s="11" t="str">
        <f>IF(Tabla1[[#This Row],[% de Participación]]=0,"Sin Participar","Participando")</f>
        <v>Sin Participar</v>
      </c>
      <c r="I19" t="s">
        <v>13</v>
      </c>
      <c r="J19">
        <f>J17-J18-J20</f>
        <v>0</v>
      </c>
      <c r="K19" s="24" t="e">
        <f>J19/$J$17</f>
        <v>#DIV/0!</v>
      </c>
    </row>
    <row r="20" spans="1:11" x14ac:dyDescent="0.25">
      <c r="A20" s="10"/>
      <c r="B20" s="11"/>
      <c r="D20" s="9"/>
      <c r="E20" s="19"/>
      <c r="F20" s="19"/>
      <c r="G20" s="11" t="str">
        <f>IF(Tabla1[[#This Row],[% de Participación]]=0,"Sin Participar","Participando")</f>
        <v>Sin Participar</v>
      </c>
      <c r="I20" t="s">
        <v>14</v>
      </c>
      <c r="J20">
        <f>COUNTIFS(Tabla1[Condición],"Participando",Tabla1[dd-mm],0,Tabla1[dd-mm2],0)</f>
        <v>0</v>
      </c>
      <c r="K20" s="24" t="e">
        <f>J20/$J$17</f>
        <v>#DIV/0!</v>
      </c>
    </row>
    <row r="21" spans="1:11" x14ac:dyDescent="0.25">
      <c r="A21" s="10"/>
      <c r="B21" s="11"/>
      <c r="D21" s="9"/>
      <c r="E21" s="19"/>
      <c r="F21" s="19"/>
      <c r="G21" s="11" t="str">
        <f>IF(Tabla1[[#This Row],[% de Participación]]=0,"Sin Participar","Participando")</f>
        <v>Sin Participar</v>
      </c>
    </row>
    <row r="22" spans="1:11" x14ac:dyDescent="0.25">
      <c r="A22" s="10"/>
      <c r="B22" s="11"/>
      <c r="C22" s="14"/>
      <c r="D22" s="9"/>
      <c r="E22" s="19"/>
      <c r="F22" s="19"/>
      <c r="G22" s="11" t="str">
        <f>IF(Tabla1[[#This Row],[% de Participación]]=0,"Sin Participar","Participando")</f>
        <v>Sin Participar</v>
      </c>
    </row>
  </sheetData>
  <mergeCells count="1">
    <mergeCell ref="I4:K4"/>
  </mergeCells>
  <phoneticPr fontId="10" type="noConversion"/>
  <conditionalFormatting sqref="A3:D22 G3:G22">
    <cfRule type="expression" dxfId="2" priority="17">
      <formula>$G3="Sin Participar"</formula>
    </cfRule>
  </conditionalFormatting>
  <conditionalFormatting sqref="E3:F22">
    <cfRule type="expression" dxfId="1" priority="6">
      <formula>$G3="Sin Participar"</formula>
    </cfRule>
  </conditionalFormatting>
  <conditionalFormatting sqref="G3:G22">
    <cfRule type="expression" dxfId="0" priority="7">
      <formula>G3="Sin Participar"</formula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" id="{770064DC-FFF6-43EC-9D7F-86D737E4E3AE}">
            <x14:iconSet iconSet="5Arrows" custom="1">
              <x14:cfvo type="percent">
                <xm:f>0</xm:f>
              </x14:cfvo>
              <x14:cfvo type="num" gte="0">
                <xm:f>0</xm:f>
              </x14:cfvo>
              <x14:cfvo type="num">
                <xm:f>0.4</xm:f>
              </x14:cfvo>
              <x14:cfvo type="num">
                <xm:f>0.8</xm:f>
              </x14:cfvo>
              <x14:cfvo type="num">
                <xm:f>1</xm:f>
              </x14:cfvo>
              <x14:cfIcon iconSet="4TrafficLights" iconId="0"/>
              <x14:cfIcon iconSet="3TrafficLights1" iconId="0"/>
              <x14:cfIcon iconSet="3TrafficLights1" iconId="1"/>
              <x14:cfIcon iconSet="3TrafficLights1" iconId="2"/>
              <x14:cfIcon iconSet="3Symbols" iconId="2"/>
            </x14:iconSet>
          </x14:cfRule>
          <xm:sqref>D3:D22</xm:sqref>
        </x14:conditionalFormatting>
        <x14:conditionalFormatting xmlns:xm="http://schemas.microsoft.com/office/excel/2006/main">
          <x14:cfRule type="iconSet" priority="1" id="{87EA0E8F-073C-47F3-8B86-F50976F2003C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4TrafficLights" iconId="0"/>
              <x14:cfIcon iconSet="3Symbols" iconId="2"/>
            </x14:iconSet>
          </x14:cfRule>
          <xm:sqref>E3:F22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Burgos</cp:lastModifiedBy>
  <dcterms:created xsi:type="dcterms:W3CDTF">2025-11-10T15:27:31Z</dcterms:created>
  <dcterms:modified xsi:type="dcterms:W3CDTF">2025-12-16T02:22:27Z</dcterms:modified>
</cp:coreProperties>
</file>