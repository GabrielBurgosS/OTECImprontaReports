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abri\Documents\coding-projects\python\OTEC\OTECImprontaReports\templates\"/>
    </mc:Choice>
  </mc:AlternateContent>
  <xr:revisionPtr revIDLastSave="0" documentId="13_ncr:1_{332FCCEA-4E4B-494D-B31D-F25318A18372}" xr6:coauthVersionLast="47" xr6:coauthVersionMax="47" xr10:uidLastSave="{00000000-0000-0000-0000-000000000000}"/>
  <bookViews>
    <workbookView xWindow="-120" yWindow="510" windowWidth="38640" windowHeight="21210" xr2:uid="{00000000-000D-0000-FFFF-FFFF00000000}"/>
  </bookViews>
  <sheets>
    <sheet name="Tabl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H6" i="1" s="1" a="1"/>
  <c r="D7" i="1"/>
  <c r="H7" i="1" s="1" a="1"/>
  <c r="D8" i="1"/>
  <c r="H8" i="1" s="1" a="1"/>
  <c r="D9" i="1"/>
  <c r="H9" i="1" s="1" a="1"/>
  <c r="D10" i="1"/>
  <c r="H10" i="1" s="1" a="1"/>
  <c r="D11" i="1"/>
  <c r="H11" i="1" s="1" a="1"/>
  <c r="D12" i="1"/>
  <c r="H12" i="1" s="1" a="1"/>
  <c r="D13" i="1"/>
  <c r="H13" i="1" s="1" a="1"/>
  <c r="D14" i="1"/>
  <c r="H14" i="1" s="1" a="1"/>
  <c r="D15" i="1"/>
  <c r="H15" i="1" s="1" a="1"/>
  <c r="D16" i="1"/>
  <c r="H16" i="1" s="1" a="1"/>
  <c r="D17" i="1"/>
  <c r="H17" i="1" s="1" a="1"/>
  <c r="D18" i="1"/>
  <c r="H18" i="1" s="1" a="1"/>
  <c r="D19" i="1"/>
  <c r="H19" i="1" s="1" a="1"/>
  <c r="D20" i="1"/>
  <c r="H20" i="1" s="1" a="1"/>
  <c r="D21" i="1"/>
  <c r="H21" i="1" s="1" a="1"/>
  <c r="D22" i="1"/>
  <c r="H22" i="1" s="1" a="1"/>
  <c r="D23" i="1"/>
  <c r="H23" i="1" s="1" a="1"/>
  <c r="D24" i="1"/>
  <c r="H24" i="1" s="1" a="1"/>
  <c r="D5" i="1"/>
  <c r="H5" i="1" s="1" a="1"/>
  <c r="D3" i="1"/>
  <c r="H3" i="1" s="1" a="1"/>
  <c r="D4" i="1"/>
  <c r="H4" i="1" s="1" a="1"/>
  <c r="B25" i="1"/>
  <c r="E25" i="1"/>
  <c r="F25" i="1"/>
  <c r="K11" i="1" l="1"/>
  <c r="K12" i="1" s="1"/>
  <c r="K13" i="1" s="1"/>
  <c r="K14" i="1"/>
  <c r="K6" i="1"/>
  <c r="K10" i="1" s="1"/>
  <c r="D25" i="1"/>
  <c r="K7" i="1"/>
  <c r="K5" i="1"/>
  <c r="L14" i="1" l="1"/>
  <c r="L11" i="1"/>
  <c r="L12" i="1"/>
  <c r="L13" i="1"/>
  <c r="L5" i="1"/>
  <c r="L7" i="1" l="1"/>
  <c r="L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<sst xmlns="http://schemas.openxmlformats.org/spreadsheetml/2006/main" count="23" uniqueCount="20">
  <si>
    <t>ID</t>
  </si>
  <si>
    <t>Nombre</t>
  </si>
  <si>
    <t>Dirección de correo</t>
  </si>
  <si>
    <t>Resumen</t>
  </si>
  <si>
    <t>Total</t>
  </si>
  <si>
    <t>Sin Participar</t>
  </si>
  <si>
    <t>Prueba Diag.</t>
  </si>
  <si>
    <t>Identificación</t>
  </si>
  <si>
    <t>Participación</t>
  </si>
  <si>
    <t>Participando</t>
  </si>
  <si>
    <t>% de Part.</t>
  </si>
  <si>
    <t>Prueba Final</t>
  </si>
  <si>
    <t>Análisis de Participación</t>
  </si>
  <si>
    <t>Partic. = 100% :</t>
  </si>
  <si>
    <t xml:space="preserve"> (Requisito de Aprobación)</t>
  </si>
  <si>
    <t>Partic. &gt;   80% :</t>
  </si>
  <si>
    <t>Partic. &gt;   40% :</t>
  </si>
  <si>
    <t>Partic. &lt;   40% :</t>
  </si>
  <si>
    <t>Notas</t>
  </si>
  <si>
    <t>Condición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</si>
</sst>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 * #,##0.0_ ;_ * \-#,##0.0_ ;_ * &quot;-&quot;?_ ;_ @_ 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ptos Display"/>
      <family val="2"/>
    </font>
    <font>
      <b/>
      <sz val="11"/>
      <color theme="1"/>
      <name val="Aptos Display"/>
      <family val="2"/>
    </font>
    <font>
      <b/>
      <sz val="11"/>
      <color theme="0"/>
      <name val="Aptos Display"/>
      <family val="2"/>
    </font>
    <font>
      <b/>
      <sz val="11"/>
      <color theme="6" tint="-0.499984740745262"/>
      <name val="Aptos Display"/>
      <family val="2"/>
    </font>
    <font>
      <sz val="11"/>
      <color theme="6" tint="-0.499984740745262"/>
      <name val="Aptos Display"/>
      <family val="2"/>
    </font>
    <font>
      <b/>
      <sz val="11"/>
      <color theme="9" tint="-0.499984740745262"/>
      <name val="Aptos Display"/>
      <family val="2"/>
    </font>
    <font>
      <sz val="11"/>
      <color theme="9" tint="-0.499984740745262"/>
      <name val="Aptos Display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b/>
      <i/>
      <sz val="11"/>
      <color theme="0" tint="-4.9989318521683403E-2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u/>
      <sz val="11"/>
      <color theme="7" tint="-0.499984740745262"/>
      <name val="Calibri"/>
      <family val="2"/>
      <scheme val="minor"/>
    </font>
    <font>
      <sz val="10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6" tint="-0.249977111117893"/>
      <name val="Calibri"/>
      <family val="2"/>
      <scheme val="minor"/>
    </font>
    <font>
      <sz val="11"/>
      <color theme="6" tint="-0.249977111117893"/>
      <name val="Calibri"/>
      <family val="2"/>
      <scheme val="minor"/>
    </font>
    <font>
      <sz val="10"/>
      <color theme="9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0"/>
      <color theme="5" tint="-0.249977111117893"/>
      <name val="Calibri"/>
      <family val="2"/>
      <scheme val="minor"/>
    </font>
    <font>
      <sz val="11"/>
      <color theme="5" tint="-0.24997711111789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35756"/>
        <bgColor indexed="64"/>
      </patternFill>
    </fill>
    <fill>
      <patternFill patternType="solid">
        <fgColor rgb="FFF3F7F6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theme="1" tint="0.499984740745262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double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0" fillId="0" borderId="3" xfId="0" applyBorder="1"/>
    <xf numFmtId="0" fontId="3" fillId="3" borderId="7" xfId="0" applyFont="1" applyFill="1" applyBorder="1"/>
    <xf numFmtId="0" fontId="2" fillId="3" borderId="8" xfId="0" applyFont="1" applyFill="1" applyBorder="1"/>
    <xf numFmtId="9" fontId="2" fillId="3" borderId="9" xfId="1" applyFont="1" applyFill="1" applyBorder="1"/>
    <xf numFmtId="0" fontId="5" fillId="3" borderId="10" xfId="0" applyFont="1" applyFill="1" applyBorder="1"/>
    <xf numFmtId="0" fontId="6" fillId="3" borderId="2" xfId="0" applyFont="1" applyFill="1" applyBorder="1"/>
    <xf numFmtId="9" fontId="6" fillId="3" borderId="11" xfId="1" applyFont="1" applyFill="1" applyBorder="1"/>
    <xf numFmtId="0" fontId="11" fillId="0" borderId="0" xfId="0" applyFont="1"/>
    <xf numFmtId="0" fontId="10" fillId="0" borderId="0" xfId="0" applyFont="1"/>
    <xf numFmtId="0" fontId="12" fillId="4" borderId="15" xfId="0" applyFont="1" applyFill="1" applyBorder="1" applyAlignment="1">
      <alignment horizontal="centerContinuous"/>
    </xf>
    <xf numFmtId="0" fontId="12" fillId="4" borderId="16" xfId="0" applyFont="1" applyFill="1" applyBorder="1" applyAlignment="1">
      <alignment horizontal="centerContinuous"/>
    </xf>
    <xf numFmtId="0" fontId="12" fillId="4" borderId="17" xfId="0" applyFont="1" applyFill="1" applyBorder="1" applyAlignment="1">
      <alignment horizontal="centerContinuous"/>
    </xf>
    <xf numFmtId="9" fontId="10" fillId="0" borderId="0" xfId="1" applyFont="1"/>
    <xf numFmtId="0" fontId="12" fillId="4" borderId="1" xfId="0" applyFont="1" applyFill="1" applyBorder="1" applyAlignment="1">
      <alignment horizontal="centerContinuous"/>
    </xf>
    <xf numFmtId="0" fontId="13" fillId="0" borderId="0" xfId="0" applyFont="1"/>
    <xf numFmtId="164" fontId="14" fillId="0" borderId="0" xfId="0" applyNumberFormat="1" applyFont="1"/>
    <xf numFmtId="0" fontId="7" fillId="3" borderId="12" xfId="0" applyFont="1" applyFill="1" applyBorder="1"/>
    <xf numFmtId="0" fontId="8" fillId="3" borderId="13" xfId="0" applyFont="1" applyFill="1" applyBorder="1"/>
    <xf numFmtId="9" fontId="8" fillId="3" borderId="14" xfId="1" applyFont="1" applyFill="1" applyBorder="1"/>
    <xf numFmtId="0" fontId="10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15" fillId="5" borderId="0" xfId="0" applyFont="1" applyFill="1"/>
    <xf numFmtId="0" fontId="15" fillId="5" borderId="0" xfId="0" applyFont="1" applyFill="1" applyAlignment="1">
      <alignment horizontal="center"/>
    </xf>
    <xf numFmtId="0" fontId="16" fillId="5" borderId="0" xfId="0" applyFont="1" applyFill="1" applyAlignment="1">
      <alignment horizontal="center"/>
    </xf>
    <xf numFmtId="9" fontId="16" fillId="5" borderId="0" xfId="0" applyNumberFormat="1" applyFont="1" applyFill="1" applyAlignment="1">
      <alignment horizontal="center"/>
    </xf>
    <xf numFmtId="9" fontId="15" fillId="5" borderId="0" xfId="0" applyNumberFormat="1" applyFont="1" applyFill="1" applyAlignment="1">
      <alignment horizontal="center"/>
    </xf>
    <xf numFmtId="164" fontId="15" fillId="5" borderId="0" xfId="0" applyNumberFormat="1" applyFont="1" applyFill="1" applyAlignment="1">
      <alignment horizontal="center"/>
    </xf>
    <xf numFmtId="0" fontId="17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18" fillId="0" borderId="0" xfId="0" applyFont="1" applyAlignment="1">
      <alignment horizontal="centerContinuous"/>
    </xf>
    <xf numFmtId="0" fontId="10" fillId="0" borderId="18" xfId="0" applyFont="1" applyBorder="1"/>
    <xf numFmtId="0" fontId="0" fillId="0" borderId="18" xfId="0" applyBorder="1"/>
    <xf numFmtId="0" fontId="19" fillId="0" borderId="0" xfId="0" applyFont="1"/>
    <xf numFmtId="0" fontId="20" fillId="0" borderId="0" xfId="0" applyFont="1"/>
    <xf numFmtId="9" fontId="20" fillId="0" borderId="0" xfId="1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9" fontId="23" fillId="0" borderId="0" xfId="1" applyFont="1"/>
    <xf numFmtId="0" fontId="24" fillId="0" borderId="0" xfId="0" applyFont="1"/>
    <xf numFmtId="0" fontId="25" fillId="0" borderId="0" xfId="0" applyFont="1"/>
    <xf numFmtId="9" fontId="25" fillId="0" borderId="0" xfId="1" applyFont="1"/>
    <xf numFmtId="0" fontId="26" fillId="0" borderId="0" xfId="0" applyFont="1"/>
    <xf numFmtId="0" fontId="27" fillId="0" borderId="0" xfId="0" applyFont="1"/>
    <xf numFmtId="9" fontId="27" fillId="0" borderId="0" xfId="1" applyFont="1"/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</cellXfs>
  <cellStyles count="2">
    <cellStyle name="Normal" xfId="0" builtinId="0"/>
    <cellStyle name="Porcentaje" xfId="1" builtinId="5"/>
  </cellStyles>
  <dxfs count="2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 tint="-4.9989318521683403E-2"/>
        <name val="Calibri"/>
        <family val="2"/>
        <scheme val="minor"/>
      </font>
      <numFmt numFmtId="164" formatCode="_ * #,##0.0_ ;_ * \-#,##0.0_ ;_ * &quot;-&quot;?_ ;_ @_ "/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 tint="-4.9989318521683403E-2"/>
        <name val="Calibri"/>
        <family val="2"/>
        <scheme val="minor"/>
      </font>
      <numFmt numFmtId="164" formatCode="_ * #,##0.0_ ;_ * \-#,##0.0_ ;_ * &quot;-&quot;?_ ;_ @_ "/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 tint="-4.9989318521683403E-2"/>
        <name val="Calibri"/>
        <family val="2"/>
        <scheme val="minor"/>
      </font>
      <numFmt numFmtId="13" formatCode="0%"/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0" tint="-4.9989318521683403E-2"/>
        <name val="Calibri"/>
        <family val="2"/>
        <scheme val="minor"/>
      </font>
      <numFmt numFmtId="13" formatCode="0%"/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0" tint="-4.9989318521683403E-2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 tint="-4.9989318521683403E-2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</dxf>
    <dxf>
      <font>
        <color theme="5" tint="-0.24994659260841701"/>
      </font>
    </dxf>
    <dxf>
      <font>
        <color theme="7" tint="-0.24994659260841701"/>
      </font>
    </dxf>
    <dxf>
      <font>
        <color theme="9" tint="-0.49998474074526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 tint="-4.9989318521683403E-2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0.34998626667073579"/>
        <name val="Calibri"/>
        <family val="2"/>
        <scheme val="minor"/>
      </font>
      <numFmt numFmtId="164" formatCode="_ * #,##0.0_ ;_ * \-#,##0.0_ ;_ * &quot;-&quot;?_ ;_ @_ 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0.34998626667073579"/>
        <name val="Calibri"/>
        <family val="2"/>
        <scheme val="minor"/>
      </font>
      <numFmt numFmtId="164" formatCode="_ * #,##0.0_ ;_ * \-#,##0.0_ ;_ * &quot;-&quot;?_ ;_ @_ "/>
    </dxf>
    <dxf>
      <font>
        <b/>
        <strike val="0"/>
        <outline val="0"/>
        <shadow val="0"/>
        <u val="none"/>
        <vertAlign val="baseline"/>
        <sz val="11"/>
        <color theme="1" tint="0.34998626667073579"/>
        <name val="Calibri"/>
        <family val="2"/>
        <scheme val="minor"/>
      </font>
      <numFmt numFmtId="164" formatCode="_ * #,##0.0_ ;_ * \-#,##0.0_ ;_ * &quot;-&quot;?_ ;_ @_ "/>
    </dxf>
    <dxf>
      <font>
        <b/>
      </font>
    </dxf>
    <dxf>
      <font>
        <b/>
        <i/>
      </font>
      <numFmt numFmtId="0" formatCode="General"/>
      <extLst>
        <ext xmlns:xfpb="http://schemas.microsoft.com/office/spreadsheetml/2022/featurepropertybag" uri="{0417FA29-78FA-4A13-93AC-8FF0FAFDF519}">
          <xfpb:DXFComplement i="0"/>
        </ext>
      </extLst>
    </dxf>
    <dxf>
      <font>
        <i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 tint="-4.9989318521683403E-2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1"/>
        <color theme="0" tint="-4.9989318521683403E-2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color theme="1"/>
      </font>
      <fill>
        <patternFill>
          <bgColor theme="6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color theme="0"/>
      </font>
      <fill>
        <patternFill>
          <bgColor rgb="FF27672F"/>
        </patternFill>
      </fill>
      <border>
        <bottom style="thick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9" defaultPivotStyle="PivotStyleLight16">
    <tableStyle name="Estilo de tabla 1" pivot="0" count="3" xr9:uid="{3AD0B4A0-3E43-470A-B85F-1F3209CE3FF7}">
      <tableStyleElement type="wholeTable" dxfId="24"/>
      <tableStyleElement type="headerRow" dxfId="23"/>
      <tableStyleElement type="firstColumn" dxfId="22"/>
    </tableStyle>
  </tableStyles>
  <colors>
    <mruColors>
      <color rgb="FF90AE91"/>
      <color rgb="FF6D745C"/>
      <color rgb="FFDAF6EF"/>
      <color rgb="FFEEF7F8"/>
      <color rgb="FFF7EAE9"/>
      <color rgb="FFFEF1E6"/>
      <color rgb="FFF2F0F6"/>
      <color rgb="FFBDFF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v>Participación</c:v>
          </c:tx>
          <c:dPt>
            <c:idx val="0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322-43D6-9E98-59FFC28471FE}"/>
              </c:ext>
            </c:extLst>
          </c:dPt>
          <c:dPt>
            <c:idx val="1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A322-43D6-9E98-59FFC28471FE}"/>
              </c:ext>
            </c:extLst>
          </c:dPt>
          <c:cat>
            <c:strRef>
              <c:f>Tabla!$J$6:$J$7</c:f>
              <c:strCache>
                <c:ptCount val="2"/>
                <c:pt idx="0">
                  <c:v>Participando</c:v>
                </c:pt>
                <c:pt idx="1">
                  <c:v>Sin Participar</c:v>
                </c:pt>
              </c:strCache>
            </c:strRef>
          </c:cat>
          <c:val>
            <c:numRef>
              <c:f>Tabla!$L$6:$L$7</c:f>
              <c:numCache>
                <c:formatCode>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322-43D6-9E98-59FFC28471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9525</xdr:colOff>
      <xdr:row>4</xdr:row>
      <xdr:rowOff>38100</xdr:rowOff>
    </xdr:from>
    <xdr:to>
      <xdr:col>13</xdr:col>
      <xdr:colOff>66676</xdr:colOff>
      <xdr:row>7</xdr:row>
      <xdr:rowOff>152399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1043243-04D8-0ACF-27FE-2D764C3E90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2C639D-369A-47A1-80E7-6CC407B5E71C}" name="Tabla1" displayName="Tabla1" ref="A2:H25" totalsRowCount="1" totalsRowDxfId="19" headerRowBorderDxfId="21" tableBorderDxfId="20">
  <autoFilter ref="A2:H24" xr:uid="{D42C639D-369A-47A1-80E7-6CC407B5E71C}"/>
  <tableColumns count="8">
    <tableColumn id="1" xr3:uid="{61D6B175-9E52-48AE-9E4C-69720732511B}" name="ID" totalsRowLabel="Total" dataDxfId="18" totalsRowDxfId="17"/>
    <tableColumn id="2" xr3:uid="{C4FECDD5-FA09-47E9-9A75-138A2A96C8E7}" name="Nombre" totalsRowFunction="custom" dataDxfId="16" totalsRowDxfId="5">
      <totalsRowFormula>_xlfn.CONCAT(COUNTA(Tabla1[Nombre])," Inscritos")</totalsRowFormula>
    </tableColumn>
    <tableColumn id="3" xr3:uid="{22AD437E-1F4F-4CD2-89C1-98EF5AE45495}" name="Dirección de correo" dataDxfId="15" totalsRowDxfId="4"/>
    <tableColumn id="8" xr3:uid="{4F72647D-2E99-419E-8B42-8526BA9EF79E}" name="Participando" totalsRowFunction="custom" dataDxfId="14" totalsRowDxfId="3">
      <calculatedColumnFormula>Tabla1[[#This Row],[% de Part.]]&gt;0</calculatedColumnFormula>
      <totalsRowFormula>COUNTIF(Tabla1[Participando],TRUE)/COUNTA(Tabla1[Participando])</totalsRowFormula>
    </tableColumn>
    <tableColumn id="5" xr3:uid="{78730820-9925-49CE-9499-87B6ABFAFAF5}" name="% de Part." totalsRowFunction="average" dataDxfId="13" totalsRowDxfId="2" dataCellStyle="Porcentaje"/>
    <tableColumn id="6" xr3:uid="{3BEDA864-88A7-46C0-880A-0ADCBE4E6DEC}" name="Prueba Diag." totalsRowFunction="custom" dataDxfId="12" totalsRowDxfId="1">
      <totalsRowFormula>AVERAGEIF(Tabla1[Prueba Diag.],"&gt;0",Tabla1[Prueba Diag.])</totalsRowFormula>
    </tableColumn>
    <tableColumn id="4" xr3:uid="{9E4CC599-D394-4003-AC7B-71B2996F0656}" name="Prueba Final" dataDxfId="11" totalsRowDxfId="0"/>
    <tableColumn id="10" xr3:uid="{D4CB4CA0-ECE1-4FDB-ABB9-B00FAA246AD4}" name="Condición" dataDxfId="10" totalsRowDxfId="9">
      <calculatedColumnFormula array="1">_xlfn.IFS(Tabla1[[#This Row],[Participando]]=FALSE,"Sin Participar",Tabla1[[#This Row],[Prueba Final]]=0,"Participando",Tabla1[[#This Row],[Prueba Final]]&lt;4,"Reprobado",Tabla1[[#This Row],[% de Part.]]&lt;1,"Aprobado - Con Asistencia Insuficiente",Tabla1[[#This Row],[Prueba Final]],"Aprobado")</calculatedColumnFormula>
    </tableColumn>
  </tableColumns>
  <tableStyleInfo name="Estilo de tabla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showGridLines="0" tabSelected="1" zoomScaleNormal="100" workbookViewId="0">
      <selection activeCell="A3" sqref="A3"/>
    </sheetView>
  </sheetViews>
  <sheetFormatPr baseColWidth="10" defaultColWidth="9.28515625" defaultRowHeight="15" x14ac:dyDescent="0.25"/>
  <cols>
    <col min="1" max="1" width="10.5703125" bestFit="1" customWidth="1"/>
    <col min="2" max="2" width="32.85546875" bestFit="1" customWidth="1"/>
    <col min="3" max="3" width="38.28515625" bestFit="1" customWidth="1"/>
    <col min="4" max="4" width="14.42578125" bestFit="1" customWidth="1"/>
    <col min="5" max="5" width="12.140625" bestFit="1" customWidth="1"/>
    <col min="6" max="6" width="14.42578125" customWidth="1"/>
    <col min="7" max="7" width="14.28515625" bestFit="1" customWidth="1"/>
    <col min="8" max="8" width="13.42578125" bestFit="1" customWidth="1"/>
    <col min="9" max="9" width="18.85546875" bestFit="1" customWidth="1"/>
    <col min="10" max="10" width="13.5703125" bestFit="1" customWidth="1"/>
    <col min="11" max="12" width="9.28515625" customWidth="1"/>
  </cols>
  <sheetData>
    <row r="1" spans="1:13" x14ac:dyDescent="0.25">
      <c r="A1" s="10" t="s">
        <v>7</v>
      </c>
      <c r="B1" s="11"/>
      <c r="C1" s="12"/>
      <c r="D1" s="14" t="s">
        <v>8</v>
      </c>
      <c r="E1" s="14"/>
      <c r="F1" s="14" t="s">
        <v>18</v>
      </c>
      <c r="G1" s="14"/>
    </row>
    <row r="2" spans="1:13" x14ac:dyDescent="0.25">
      <c r="A2" t="s">
        <v>0</v>
      </c>
      <c r="B2" t="s">
        <v>1</v>
      </c>
      <c r="C2" t="s">
        <v>2</v>
      </c>
      <c r="D2" s="1" t="s">
        <v>9</v>
      </c>
      <c r="E2" t="s">
        <v>10</v>
      </c>
      <c r="F2" t="s">
        <v>6</v>
      </c>
      <c r="G2" s="1" t="s">
        <v>11</v>
      </c>
      <c r="H2" s="1" t="s">
        <v>19</v>
      </c>
    </row>
    <row r="3" spans="1:13" ht="15.75" thickBot="1" x14ac:dyDescent="0.3">
      <c r="A3" s="8"/>
      <c r="B3" s="9"/>
      <c r="C3" s="15"/>
      <c r="D3" s="20" t="b">
        <f>Tabla1[[#This Row],[% de Part.]]&gt;0</f>
        <v>0</v>
      </c>
      <c r="E3" s="13"/>
      <c r="F3" s="16"/>
      <c r="G3" s="16"/>
      <c r="H3" s="16" t="str" cm="1">
        <f t="array" ref="H3">_xlfn.IFS(Tabla1[[#This Row],[Participando]]=FALSE,"Sin Participar",Tabla1[[#This Row],[Prueba Final]]=0,"Participando",Tabla1[[#This Row],[Prueba Final]]&lt;4,"Reprobado",Tabla1[[#This Row],[% de Part.]]&lt;1,"Aprobado - Con Asistencia Insuficiente",Tabla1[[#This Row],[Prueba Final]],"Aprobado")</f>
        <v>Sin Participar</v>
      </c>
    </row>
    <row r="4" spans="1:13" ht="15.75" thickBot="1" x14ac:dyDescent="0.3">
      <c r="A4" s="8"/>
      <c r="B4" s="9"/>
      <c r="C4" s="15"/>
      <c r="D4" s="20" t="b">
        <f>Tabla1[[#This Row],[% de Part.]]&gt;0</f>
        <v>0</v>
      </c>
      <c r="E4" s="13"/>
      <c r="F4" s="16"/>
      <c r="G4" s="16"/>
      <c r="H4" s="16" t="str" cm="1">
        <f t="array" ref="H4">_xlfn.IFS(Tabla1[[#This Row],[Participando]]=FALSE,"Sin Participar",Tabla1[[#This Row],[Prueba Final]]=0,"Participando",Tabla1[[#This Row],[Prueba Final]]&lt;4,"Reprobado",Tabla1[[#This Row],[% de Part.]]&lt;1,"Aprobado - Con Asistencia Insuficiente",Tabla1[[#This Row],[Prueba Final]],"Aprobado")</f>
        <v>Sin Participar</v>
      </c>
      <c r="J4" s="44" t="s">
        <v>3</v>
      </c>
      <c r="K4" s="45"/>
      <c r="L4" s="46"/>
    </row>
    <row r="5" spans="1:13" ht="15.75" thickBot="1" x14ac:dyDescent="0.3">
      <c r="A5" s="8"/>
      <c r="B5" s="9"/>
      <c r="C5" s="15"/>
      <c r="D5" s="27" t="b">
        <f>Tabla1[[#This Row],[% de Part.]]&gt;0</f>
        <v>0</v>
      </c>
      <c r="E5" s="13"/>
      <c r="F5" s="16"/>
      <c r="G5" s="16"/>
      <c r="H5" s="16" t="str" cm="1">
        <f t="array" ref="H5">_xlfn.IFS(Tabla1[[#This Row],[Participando]]=FALSE,"Sin Participar",Tabla1[[#This Row],[Prueba Final]]=0,"Participando",Tabla1[[#This Row],[Prueba Final]]&lt;4,"Reprobado",Tabla1[[#This Row],[% de Part.]]&lt;1,"Aprobado - Con Asistencia Insuficiente",Tabla1[[#This Row],[Prueba Final]],"Aprobado")</f>
        <v>Sin Participar</v>
      </c>
      <c r="J5" s="2" t="s">
        <v>4</v>
      </c>
      <c r="K5" s="3">
        <f>COUNTA(Tabla1[Nombre])</f>
        <v>0</v>
      </c>
      <c r="L5" s="4" t="e">
        <f>K5/K5</f>
        <v>#DIV/0!</v>
      </c>
    </row>
    <row r="6" spans="1:13" ht="15.75" thickTop="1" x14ac:dyDescent="0.25">
      <c r="A6" s="8"/>
      <c r="B6" s="9"/>
      <c r="C6" s="15"/>
      <c r="D6" s="27" t="b">
        <f>Tabla1[[#This Row],[% de Part.]]&gt;0</f>
        <v>0</v>
      </c>
      <c r="E6" s="13"/>
      <c r="F6" s="16"/>
      <c r="G6" s="16"/>
      <c r="H6" s="16" t="str" cm="1">
        <f t="array" ref="H6">_xlfn.IFS(Tabla1[[#This Row],[Participando]]=FALSE,"Sin Participar",Tabla1[[#This Row],[Prueba Final]]=0,"Participando",Tabla1[[#This Row],[Prueba Final]]&lt;4,"Reprobado",Tabla1[[#This Row],[% de Part.]]&lt;1,"Aprobado - Con Asistencia Insuficiente",Tabla1[[#This Row],[Prueba Final]],"Aprobado")</f>
        <v>Sin Participar</v>
      </c>
      <c r="J6" s="5" t="s">
        <v>9</v>
      </c>
      <c r="K6" s="6">
        <f>COUNTIF(Tabla1[Participando],TRUE)</f>
        <v>0</v>
      </c>
      <c r="L6" s="7" t="e">
        <f>K6/K5</f>
        <v>#DIV/0!</v>
      </c>
    </row>
    <row r="7" spans="1:13" ht="15.75" thickBot="1" x14ac:dyDescent="0.3">
      <c r="A7" s="8"/>
      <c r="B7" s="9"/>
      <c r="C7" s="15"/>
      <c r="D7" s="27" t="b">
        <f>Tabla1[[#This Row],[% de Part.]]&gt;0</f>
        <v>0</v>
      </c>
      <c r="E7" s="13"/>
      <c r="F7" s="16"/>
      <c r="G7" s="16"/>
      <c r="H7" s="16" t="str" cm="1">
        <f t="array" ref="H7">_xlfn.IFS(Tabla1[[#This Row],[Participando]]=FALSE,"Sin Participar",Tabla1[[#This Row],[Prueba Final]]=0,"Participando",Tabla1[[#This Row],[Prueba Final]]&lt;4,"Reprobado",Tabla1[[#This Row],[% de Part.]]&lt;1,"Aprobado - Con Asistencia Insuficiente",Tabla1[[#This Row],[Prueba Final]],"Aprobado")</f>
        <v>Sin Participar</v>
      </c>
      <c r="J7" s="17" t="s">
        <v>5</v>
      </c>
      <c r="K7" s="18">
        <f>COUNTIF(Tabla1[Participando],FALSE)</f>
        <v>22</v>
      </c>
      <c r="L7" s="19" t="e">
        <f>K7/K5</f>
        <v>#DIV/0!</v>
      </c>
    </row>
    <row r="8" spans="1:13" x14ac:dyDescent="0.25">
      <c r="A8" s="8"/>
      <c r="B8" s="9"/>
      <c r="C8" s="15"/>
      <c r="D8" s="27" t="b">
        <f>Tabla1[[#This Row],[% de Part.]]&gt;0</f>
        <v>0</v>
      </c>
      <c r="E8" s="13"/>
      <c r="F8" s="16"/>
      <c r="G8" s="16"/>
      <c r="H8" s="16" t="str" cm="1">
        <f t="array" ref="H8">_xlfn.IFS(Tabla1[[#This Row],[Participando]]=FALSE,"Sin Participar",Tabla1[[#This Row],[Prueba Final]]=0,"Participando",Tabla1[[#This Row],[Prueba Final]]&lt;4,"Reprobado",Tabla1[[#This Row],[% de Part.]]&lt;1,"Aprobado - Con Asistencia Insuficiente",Tabla1[[#This Row],[Prueba Final]],"Aprobado")</f>
        <v>Sin Participar</v>
      </c>
    </row>
    <row r="9" spans="1:13" x14ac:dyDescent="0.25">
      <c r="A9" s="8"/>
      <c r="B9" s="9"/>
      <c r="C9" s="15"/>
      <c r="D9" s="27" t="b">
        <f>Tabla1[[#This Row],[% de Part.]]&gt;0</f>
        <v>0</v>
      </c>
      <c r="E9" s="13"/>
      <c r="F9" s="16"/>
      <c r="G9" s="16"/>
      <c r="H9" s="16" t="str" cm="1">
        <f t="array" ref="H9">_xlfn.IFS(Tabla1[[#This Row],[Participando]]=FALSE,"Sin Participar",Tabla1[[#This Row],[Prueba Final]]=0,"Participando",Tabla1[[#This Row],[Prueba Final]]&lt;4,"Reprobado",Tabla1[[#This Row],[% de Part.]]&lt;1,"Aprobado - Con Asistencia Insuficiente",Tabla1[[#This Row],[Prueba Final]],"Aprobado")</f>
        <v>Sin Participar</v>
      </c>
      <c r="J9" s="28" t="s">
        <v>12</v>
      </c>
      <c r="K9" s="28"/>
      <c r="L9" s="28"/>
    </row>
    <row r="10" spans="1:13" ht="15.75" thickBot="1" x14ac:dyDescent="0.3">
      <c r="A10" s="8"/>
      <c r="B10" s="9"/>
      <c r="C10" s="15"/>
      <c r="D10" s="27" t="b">
        <f>Tabla1[[#This Row],[% de Part.]]&gt;0</f>
        <v>0</v>
      </c>
      <c r="E10" s="13"/>
      <c r="F10" s="16"/>
      <c r="G10" s="16"/>
      <c r="H10" s="16" t="str" cm="1">
        <f t="array" ref="H10">_xlfn.IFS(Tabla1[[#This Row],[Participando]]=FALSE,"Sin Participar",Tabla1[[#This Row],[Prueba Final]]=0,"Participando",Tabla1[[#This Row],[Prueba Final]]&lt;4,"Reprobado",Tabla1[[#This Row],[% de Part.]]&lt;1,"Aprobado - Con Asistencia Insuficiente",Tabla1[[#This Row],[Prueba Final]],"Aprobado")</f>
        <v>Sin Participar</v>
      </c>
      <c r="J10" s="29" t="s">
        <v>9</v>
      </c>
      <c r="K10" s="29">
        <f>K6</f>
        <v>0</v>
      </c>
      <c r="L10" s="30"/>
    </row>
    <row r="11" spans="1:13" ht="15.75" thickTop="1" x14ac:dyDescent="0.25">
      <c r="A11" s="8"/>
      <c r="B11" s="9"/>
      <c r="C11" s="15"/>
      <c r="D11" s="27" t="b">
        <f>Tabla1[[#This Row],[% de Part.]]&gt;0</f>
        <v>0</v>
      </c>
      <c r="E11" s="13"/>
      <c r="F11" s="16"/>
      <c r="G11" s="16"/>
      <c r="H11" s="16" t="str" cm="1">
        <f t="array" ref="H11">_xlfn.IFS(Tabla1[[#This Row],[Participando]]=FALSE,"Sin Participar",Tabla1[[#This Row],[Prueba Final]]=0,"Participando",Tabla1[[#This Row],[Prueba Final]]&lt;4,"Reprobado",Tabla1[[#This Row],[% de Part.]]&lt;1,"Aprobado - Con Asistencia Insuficiente",Tabla1[[#This Row],[Prueba Final]],"Aprobado")</f>
        <v>Sin Participar</v>
      </c>
      <c r="J11" s="31" t="s">
        <v>13</v>
      </c>
      <c r="K11" s="32">
        <f>COUNTIFS(Tabla1[Participando],TRUE,Tabla1[% de Part.],1)</f>
        <v>0</v>
      </c>
      <c r="L11" s="33" t="e">
        <f>K11/$K$10</f>
        <v>#DIV/0!</v>
      </c>
      <c r="M11" s="34" t="s">
        <v>14</v>
      </c>
    </row>
    <row r="12" spans="1:13" x14ac:dyDescent="0.25">
      <c r="A12" s="8"/>
      <c r="B12" s="9"/>
      <c r="C12" s="15"/>
      <c r="D12" s="27" t="b">
        <f>Tabla1[[#This Row],[% de Part.]]&gt;0</f>
        <v>0</v>
      </c>
      <c r="E12" s="13"/>
      <c r="F12" s="16"/>
      <c r="G12" s="16"/>
      <c r="H12" s="16" t="str" cm="1">
        <f t="array" ref="H12">_xlfn.IFS(Tabla1[[#This Row],[Participando]]=FALSE,"Sin Participar",Tabla1[[#This Row],[Prueba Final]]=0,"Participando",Tabla1[[#This Row],[Prueba Final]]&lt;4,"Reprobado",Tabla1[[#This Row],[% de Part.]]&lt;1,"Aprobado - Con Asistencia Insuficiente",Tabla1[[#This Row],[Prueba Final]],"Aprobado")</f>
        <v>Sin Participar</v>
      </c>
      <c r="J12" s="35" t="s">
        <v>15</v>
      </c>
      <c r="K12" s="36">
        <f>COUNTIFS(Tabla1[Participando],TRUE,Tabla1[% de Part.],"&gt;80%")-K11</f>
        <v>0</v>
      </c>
      <c r="L12" s="37" t="e">
        <f>K12/$K$10</f>
        <v>#DIV/0!</v>
      </c>
    </row>
    <row r="13" spans="1:13" x14ac:dyDescent="0.25">
      <c r="A13" s="8"/>
      <c r="B13" s="9"/>
      <c r="C13" s="15"/>
      <c r="D13" s="27" t="b">
        <f>Tabla1[[#This Row],[% de Part.]]&gt;0</f>
        <v>0</v>
      </c>
      <c r="E13" s="13"/>
      <c r="F13" s="16"/>
      <c r="G13" s="16"/>
      <c r="H13" s="16" t="str" cm="1">
        <f t="array" ref="H13">_xlfn.IFS(Tabla1[[#This Row],[Participando]]=FALSE,"Sin Participar",Tabla1[[#This Row],[Prueba Final]]=0,"Participando",Tabla1[[#This Row],[Prueba Final]]&lt;4,"Reprobado",Tabla1[[#This Row],[% de Part.]]&lt;1,"Aprobado - Con Asistencia Insuficiente",Tabla1[[#This Row],[Prueba Final]],"Aprobado")</f>
        <v>Sin Participar</v>
      </c>
      <c r="J13" s="38" t="s">
        <v>16</v>
      </c>
      <c r="K13" s="39">
        <f>COUNTIFS(Tabla1[Participando],TRUE,Tabla1[% de Part.],"&gt;=40%")-K12-K11</f>
        <v>0</v>
      </c>
      <c r="L13" s="40" t="e">
        <f>K13/$K$10</f>
        <v>#DIV/0!</v>
      </c>
    </row>
    <row r="14" spans="1:13" x14ac:dyDescent="0.25">
      <c r="A14" s="8"/>
      <c r="B14" s="9"/>
      <c r="C14" s="15"/>
      <c r="D14" s="27" t="b">
        <f>Tabla1[[#This Row],[% de Part.]]&gt;0</f>
        <v>0</v>
      </c>
      <c r="E14" s="13"/>
      <c r="F14" s="16"/>
      <c r="G14" s="16"/>
      <c r="H14" s="16" t="str" cm="1">
        <f t="array" ref="H14">_xlfn.IFS(Tabla1[[#This Row],[Participando]]=FALSE,"Sin Participar",Tabla1[[#This Row],[Prueba Final]]=0,"Participando",Tabla1[[#This Row],[Prueba Final]]&lt;4,"Reprobado",Tabla1[[#This Row],[% de Part.]]&lt;1,"Aprobado - Con Asistencia Insuficiente",Tabla1[[#This Row],[Prueba Final]],"Aprobado")</f>
        <v>Sin Participar</v>
      </c>
      <c r="J14" s="41" t="s">
        <v>17</v>
      </c>
      <c r="K14" s="42">
        <f>COUNTIFS(Tabla1[Participando],TRUE,Tabla1[% de Part.],"&lt;40%")</f>
        <v>0</v>
      </c>
      <c r="L14" s="43" t="e">
        <f>K14/$K$10</f>
        <v>#DIV/0!</v>
      </c>
    </row>
    <row r="15" spans="1:13" x14ac:dyDescent="0.25">
      <c r="A15" s="8"/>
      <c r="B15" s="9"/>
      <c r="C15" s="15"/>
      <c r="D15" s="27" t="b">
        <f>Tabla1[[#This Row],[% de Part.]]&gt;0</f>
        <v>0</v>
      </c>
      <c r="E15" s="13"/>
      <c r="F15" s="16"/>
      <c r="G15" s="16"/>
      <c r="H15" s="16" t="str" cm="1">
        <f t="array" ref="H15">_xlfn.IFS(Tabla1[[#This Row],[Participando]]=FALSE,"Sin Participar",Tabla1[[#This Row],[Prueba Final]]=0,"Participando",Tabla1[[#This Row],[Prueba Final]]&lt;4,"Reprobado",Tabla1[[#This Row],[% de Part.]]&lt;1,"Aprobado - Con Asistencia Insuficiente",Tabla1[[#This Row],[Prueba Final]],"Aprobado")</f>
        <v>Sin Participar</v>
      </c>
    </row>
    <row r="16" spans="1:13" x14ac:dyDescent="0.25">
      <c r="A16" s="8"/>
      <c r="B16" s="9"/>
      <c r="C16" s="15"/>
      <c r="D16" s="27" t="b">
        <f>Tabla1[[#This Row],[% de Part.]]&gt;0</f>
        <v>0</v>
      </c>
      <c r="E16" s="13"/>
      <c r="F16" s="16"/>
      <c r="G16" s="16"/>
      <c r="H16" s="16" t="str" cm="1">
        <f t="array" ref="H16">_xlfn.IFS(Tabla1[[#This Row],[Participando]]=FALSE,"Sin Participar",Tabla1[[#This Row],[Prueba Final]]=0,"Participando",Tabla1[[#This Row],[Prueba Final]]&lt;4,"Reprobado",Tabla1[[#This Row],[% de Part.]]&lt;1,"Aprobado - Con Asistencia Insuficiente",Tabla1[[#This Row],[Prueba Final]],"Aprobado")</f>
        <v>Sin Participar</v>
      </c>
    </row>
    <row r="17" spans="1:8" x14ac:dyDescent="0.25">
      <c r="A17" s="8"/>
      <c r="B17" s="9"/>
      <c r="C17" s="15"/>
      <c r="D17" s="27" t="b">
        <f>Tabla1[[#This Row],[% de Part.]]&gt;0</f>
        <v>0</v>
      </c>
      <c r="E17" s="13"/>
      <c r="F17" s="16"/>
      <c r="G17" s="16"/>
      <c r="H17" s="16" t="str" cm="1">
        <f t="array" ref="H17">_xlfn.IFS(Tabla1[[#This Row],[Participando]]=FALSE,"Sin Participar",Tabla1[[#This Row],[Prueba Final]]=0,"Participando",Tabla1[[#This Row],[Prueba Final]]&lt;4,"Reprobado",Tabla1[[#This Row],[% de Part.]]&lt;1,"Aprobado - Con Asistencia Insuficiente",Tabla1[[#This Row],[Prueba Final]],"Aprobado")</f>
        <v>Sin Participar</v>
      </c>
    </row>
    <row r="18" spans="1:8" x14ac:dyDescent="0.25">
      <c r="A18" s="8"/>
      <c r="B18" s="9"/>
      <c r="C18" s="15"/>
      <c r="D18" s="27" t="b">
        <f>Tabla1[[#This Row],[% de Part.]]&gt;0</f>
        <v>0</v>
      </c>
      <c r="E18" s="13"/>
      <c r="F18" s="16"/>
      <c r="G18" s="16"/>
      <c r="H18" s="16" t="str" cm="1">
        <f t="array" ref="H18">_xlfn.IFS(Tabla1[[#This Row],[Participando]]=FALSE,"Sin Participar",Tabla1[[#This Row],[Prueba Final]]=0,"Participando",Tabla1[[#This Row],[Prueba Final]]&lt;4,"Reprobado",Tabla1[[#This Row],[% de Part.]]&lt;1,"Aprobado - Con Asistencia Insuficiente",Tabla1[[#This Row],[Prueba Final]],"Aprobado")</f>
        <v>Sin Participar</v>
      </c>
    </row>
    <row r="19" spans="1:8" x14ac:dyDescent="0.25">
      <c r="A19" s="8"/>
      <c r="B19" s="9"/>
      <c r="C19" s="15"/>
      <c r="D19" s="27" t="b">
        <f>Tabla1[[#This Row],[% de Part.]]&gt;0</f>
        <v>0</v>
      </c>
      <c r="E19" s="13"/>
      <c r="F19" s="16"/>
      <c r="G19" s="16"/>
      <c r="H19" s="16" t="str" cm="1">
        <f t="array" ref="H19">_xlfn.IFS(Tabla1[[#This Row],[Participando]]=FALSE,"Sin Participar",Tabla1[[#This Row],[Prueba Final]]=0,"Participando",Tabla1[[#This Row],[Prueba Final]]&lt;4,"Reprobado",Tabla1[[#This Row],[% de Part.]]&lt;1,"Aprobado - Con Asistencia Insuficiente",Tabla1[[#This Row],[Prueba Final]],"Aprobado")</f>
        <v>Sin Participar</v>
      </c>
    </row>
    <row r="20" spans="1:8" x14ac:dyDescent="0.25">
      <c r="A20" s="8"/>
      <c r="B20" s="9"/>
      <c r="C20" s="15"/>
      <c r="D20" s="27" t="b">
        <f>Tabla1[[#This Row],[% de Part.]]&gt;0</f>
        <v>0</v>
      </c>
      <c r="E20" s="13"/>
      <c r="F20" s="16"/>
      <c r="G20" s="16"/>
      <c r="H20" s="16" t="str" cm="1">
        <f t="array" ref="H20">_xlfn.IFS(Tabla1[[#This Row],[Participando]]=FALSE,"Sin Participar",Tabla1[[#This Row],[Prueba Final]]=0,"Participando",Tabla1[[#This Row],[Prueba Final]]&lt;4,"Reprobado",Tabla1[[#This Row],[% de Part.]]&lt;1,"Aprobado - Con Asistencia Insuficiente",Tabla1[[#This Row],[Prueba Final]],"Aprobado")</f>
        <v>Sin Participar</v>
      </c>
    </row>
    <row r="21" spans="1:8" x14ac:dyDescent="0.25">
      <c r="A21" s="8"/>
      <c r="B21" s="9"/>
      <c r="C21" s="15"/>
      <c r="D21" s="27" t="b">
        <f>Tabla1[[#This Row],[% de Part.]]&gt;0</f>
        <v>0</v>
      </c>
      <c r="E21" s="13"/>
      <c r="F21" s="16"/>
      <c r="G21" s="16"/>
      <c r="H21" s="16" t="str" cm="1">
        <f t="array" ref="H21">_xlfn.IFS(Tabla1[[#This Row],[Participando]]=FALSE,"Sin Participar",Tabla1[[#This Row],[Prueba Final]]=0,"Participando",Tabla1[[#This Row],[Prueba Final]]&lt;4,"Reprobado",Tabla1[[#This Row],[% de Part.]]&lt;1,"Aprobado - Con Asistencia Insuficiente",Tabla1[[#This Row],[Prueba Final]],"Aprobado")</f>
        <v>Sin Participar</v>
      </c>
    </row>
    <row r="22" spans="1:8" x14ac:dyDescent="0.25">
      <c r="A22" s="8"/>
      <c r="B22" s="9"/>
      <c r="C22" s="15"/>
      <c r="D22" s="27" t="b">
        <f>Tabla1[[#This Row],[% de Part.]]&gt;0</f>
        <v>0</v>
      </c>
      <c r="E22" s="13"/>
      <c r="F22" s="16"/>
      <c r="G22" s="16"/>
      <c r="H22" s="16" t="str" cm="1">
        <f t="array" ref="H22">_xlfn.IFS(Tabla1[[#This Row],[Participando]]=FALSE,"Sin Participar",Tabla1[[#This Row],[Prueba Final]]=0,"Participando",Tabla1[[#This Row],[Prueba Final]]&lt;4,"Reprobado",Tabla1[[#This Row],[% de Part.]]&lt;1,"Aprobado - Con Asistencia Insuficiente",Tabla1[[#This Row],[Prueba Final]],"Aprobado")</f>
        <v>Sin Participar</v>
      </c>
    </row>
    <row r="23" spans="1:8" x14ac:dyDescent="0.25">
      <c r="A23" s="8"/>
      <c r="B23" s="9"/>
      <c r="C23" s="15"/>
      <c r="D23" s="27" t="b">
        <f>Tabla1[[#This Row],[% de Part.]]&gt;0</f>
        <v>0</v>
      </c>
      <c r="E23" s="13"/>
      <c r="F23" s="16"/>
      <c r="G23" s="16"/>
      <c r="H23" s="16" t="str" cm="1">
        <f t="array" ref="H23">_xlfn.IFS(Tabla1[[#This Row],[Participando]]=FALSE,"Sin Participar",Tabla1[[#This Row],[Prueba Final]]=0,"Participando",Tabla1[[#This Row],[Prueba Final]]&lt;4,"Reprobado",Tabla1[[#This Row],[% de Part.]]&lt;1,"Aprobado - Con Asistencia Insuficiente",Tabla1[[#This Row],[Prueba Final]],"Aprobado")</f>
        <v>Sin Participar</v>
      </c>
    </row>
    <row r="24" spans="1:8" x14ac:dyDescent="0.25">
      <c r="A24" s="8"/>
      <c r="B24" s="9"/>
      <c r="C24" s="15"/>
      <c r="D24" s="27" t="b">
        <f>Tabla1[[#This Row],[% de Part.]]&gt;0</f>
        <v>0</v>
      </c>
      <c r="E24" s="13"/>
      <c r="F24" s="16"/>
      <c r="G24" s="16"/>
      <c r="H24" s="16" t="str" cm="1">
        <f t="array" ref="H24">_xlfn.IFS(Tabla1[[#This Row],[Participando]]=FALSE,"Sin Participar",Tabla1[[#This Row],[Prueba Final]]=0,"Participando",Tabla1[[#This Row],[Prueba Final]]&lt;4,"Reprobado",Tabla1[[#This Row],[% de Part.]]&lt;1,"Aprobado - Con Asistencia Insuficiente",Tabla1[[#This Row],[Prueba Final]],"Aprobado")</f>
        <v>Sin Participar</v>
      </c>
    </row>
    <row r="25" spans="1:8" x14ac:dyDescent="0.25">
      <c r="A25" s="21" t="s">
        <v>4</v>
      </c>
      <c r="B25" s="22" t="str">
        <f>_xlfn.CONCAT(COUNTA(Tabla1[Nombre])," Inscritos")</f>
        <v>0 Inscritos</v>
      </c>
      <c r="C25" s="23"/>
      <c r="D25" s="24">
        <f>COUNTIF(Tabla1[Participando],TRUE)/COUNTA(Tabla1[Participando])</f>
        <v>0</v>
      </c>
      <c r="E25" s="25" t="e">
        <f>SUBTOTAL(101,Tabla1[% de Part.])</f>
        <v>#DIV/0!</v>
      </c>
      <c r="F25" s="26" t="e">
        <f>AVERAGEIF(Tabla1[Prueba Diag.],"&gt;0",Tabla1[Prueba Diag.])</f>
        <v>#DIV/0!</v>
      </c>
      <c r="G25" s="26"/>
      <c r="H25" s="21"/>
    </row>
  </sheetData>
  <mergeCells count="1">
    <mergeCell ref="J4:L4"/>
  </mergeCells>
  <phoneticPr fontId="9" type="noConversion"/>
  <conditionalFormatting sqref="E3:E24">
    <cfRule type="dataBar" priority="4">
      <dataBar>
        <cfvo type="num" val="0"/>
        <cfvo type="num" val="1"/>
        <color rgb="FF90AE91"/>
      </dataBar>
      <extLst>
        <ext xmlns:x14="http://schemas.microsoft.com/office/spreadsheetml/2009/9/main" uri="{B025F937-C7B1-47D3-B67F-A62EFF666E3E}">
          <x14:id>{ABDB45B0-D0C1-4CB3-93B9-37F7084738C0}</x14:id>
        </ext>
      </extLst>
    </cfRule>
  </conditionalFormatting>
  <conditionalFormatting sqref="H3:H24">
    <cfRule type="expression" dxfId="8" priority="1">
      <formula>$H3="Aprobado - Con Asistencia Insuficiente"</formula>
    </cfRule>
    <cfRule type="expression" dxfId="7" priority="2">
      <formula>$H3="Reprobado"</formula>
    </cfRule>
    <cfRule type="expression" dxfId="6" priority="3">
      <formula>$H3="Sin Participar"</formula>
    </cfRule>
  </conditionalFormatting>
  <pageMargins left="0.75" right="0.75" top="1" bottom="1" header="0.5" footer="0.5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BDB45B0-D0C1-4CB3-93B9-37F7084738C0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E3:E24</xm:sqref>
        </x14:conditionalFormatting>
        <x14:conditionalFormatting xmlns:xm="http://schemas.microsoft.com/office/excel/2006/main">
          <x14:cfRule type="iconSet" priority="10" id="{1C48670A-AEBB-49A6-A7C6-C320C0370D92}">
            <x14:iconSet custom="1">
              <x14:cfvo type="percent">
                <xm:f>0</xm:f>
              </x14:cfvo>
              <x14:cfvo type="num" gte="0">
                <xm:f>0</xm:f>
              </x14:cfvo>
              <x14:cfvo type="num">
                <xm:f>4</xm:f>
              </x14:cfvo>
              <x14:cfIcon iconSet="NoIcons" iconId="0"/>
              <x14:cfIcon iconSet="3Symbols" iconId="0"/>
              <x14:cfIcon iconSet="3Symbols" iconId="2"/>
            </x14:iconSet>
          </x14:cfRule>
          <xm:sqref>F3:H24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Burgos</cp:lastModifiedBy>
  <dcterms:created xsi:type="dcterms:W3CDTF">2025-11-10T15:27:31Z</dcterms:created>
  <dcterms:modified xsi:type="dcterms:W3CDTF">2026-09-01T01:43:08Z</dcterms:modified>
</cp:coreProperties>
</file>