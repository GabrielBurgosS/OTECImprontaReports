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\Documents\coding-projects\python\OTEC\OTECImprontaReports\templates\"/>
    </mc:Choice>
  </mc:AlternateContent>
  <xr:revisionPtr revIDLastSave="0" documentId="13_ncr:1_{0847014D-2BBD-4D54-B4AC-90CCF8721365}" xr6:coauthVersionLast="47" xr6:coauthVersionMax="47" xr10:uidLastSave="{00000000-0000-0000-0000-000000000000}"/>
  <bookViews>
    <workbookView xWindow="1425" yWindow="2055" windowWidth="28800" windowHeight="15360" xr2:uid="{00000000-000D-0000-FFFF-FFFF00000000}"/>
  </bookViews>
  <sheets>
    <sheet name="Ta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B5" i="1"/>
  <c r="E5" i="1"/>
  <c r="F5" i="1"/>
  <c r="I6" i="1" l="1"/>
  <c r="D5" i="1"/>
  <c r="I7" i="1"/>
  <c r="I5" i="1"/>
  <c r="J5" i="1" l="1"/>
  <c r="J7" i="1" l="1"/>
  <c r="J6" i="1"/>
</calcChain>
</file>

<file path=xl/sharedStrings.xml><?xml version="1.0" encoding="utf-8"?>
<sst xmlns="http://schemas.openxmlformats.org/spreadsheetml/2006/main" count="13" uniqueCount="11">
  <si>
    <t>ID</t>
  </si>
  <si>
    <t>Nombre</t>
  </si>
  <si>
    <t>Dirección de correo</t>
  </si>
  <si>
    <t>Resumen</t>
  </si>
  <si>
    <t>Total</t>
  </si>
  <si>
    <t>Sin Participar</t>
  </si>
  <si>
    <t>Prueba Diag.</t>
  </si>
  <si>
    <t>Identificación</t>
  </si>
  <si>
    <t>Participación</t>
  </si>
  <si>
    <t>Participando</t>
  </si>
  <si>
    <t>% de 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</si>
</sst>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_ ;_ * \-#,##0.0_ ;_ * &quot;-&quot;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1"/>
      <color theme="0"/>
      <name val="Aptos Display"/>
      <family val="2"/>
    </font>
    <font>
      <b/>
      <sz val="11"/>
      <color theme="6" tint="-0.499984740745262"/>
      <name val="Aptos Display"/>
      <family val="2"/>
    </font>
    <font>
      <sz val="11"/>
      <color theme="6" tint="-0.499984740745262"/>
      <name val="Aptos Display"/>
      <family val="2"/>
    </font>
    <font>
      <b/>
      <sz val="11"/>
      <color theme="9" tint="-0.499984740745262"/>
      <name val="Aptos Display"/>
      <family val="2"/>
    </font>
    <font>
      <sz val="11"/>
      <color theme="9" tint="-0.499984740745262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35756"/>
        <bgColor indexed="64"/>
      </patternFill>
    </fill>
    <fill>
      <patternFill patternType="solid">
        <fgColor rgb="FFF3F7F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3" xfId="0" applyBorder="1"/>
    <xf numFmtId="0" fontId="3" fillId="3" borderId="7" xfId="0" applyFont="1" applyFill="1" applyBorder="1"/>
    <xf numFmtId="0" fontId="2" fillId="3" borderId="8" xfId="0" applyFont="1" applyFill="1" applyBorder="1"/>
    <xf numFmtId="9" fontId="2" fillId="3" borderId="9" xfId="1" applyFont="1" applyFill="1" applyBorder="1"/>
    <xf numFmtId="0" fontId="5" fillId="3" borderId="10" xfId="0" applyFont="1" applyFill="1" applyBorder="1"/>
    <xf numFmtId="0" fontId="6" fillId="3" borderId="2" xfId="0" applyFont="1" applyFill="1" applyBorder="1"/>
    <xf numFmtId="9" fontId="6" fillId="3" borderId="11" xfId="1" applyFont="1" applyFill="1" applyBorder="1"/>
    <xf numFmtId="0" fontId="11" fillId="0" borderId="0" xfId="0" applyFont="1"/>
    <xf numFmtId="0" fontId="10" fillId="0" borderId="0" xfId="0" applyFont="1"/>
    <xf numFmtId="0" fontId="12" fillId="4" borderId="15" xfId="0" applyFont="1" applyFill="1" applyBorder="1" applyAlignment="1">
      <alignment horizontal="centerContinuous"/>
    </xf>
    <xf numFmtId="0" fontId="12" fillId="4" borderId="16" xfId="0" applyFont="1" applyFill="1" applyBorder="1" applyAlignment="1">
      <alignment horizontal="centerContinuous"/>
    </xf>
    <xf numFmtId="0" fontId="12" fillId="4" borderId="17" xfId="0" applyFont="1" applyFill="1" applyBorder="1" applyAlignment="1">
      <alignment horizontal="centerContinuous"/>
    </xf>
    <xf numFmtId="9" fontId="10" fillId="0" borderId="0" xfId="1" applyFont="1"/>
    <xf numFmtId="0" fontId="12" fillId="4" borderId="1" xfId="0" applyFont="1" applyFill="1" applyBorder="1" applyAlignment="1">
      <alignment horizontal="centerContinuous"/>
    </xf>
    <xf numFmtId="0" fontId="13" fillId="0" borderId="0" xfId="0" applyFont="1"/>
    <xf numFmtId="164" fontId="14" fillId="0" borderId="0" xfId="0" applyNumberFormat="1" applyFont="1"/>
    <xf numFmtId="0" fontId="7" fillId="3" borderId="12" xfId="0" applyFont="1" applyFill="1" applyBorder="1"/>
    <xf numFmtId="0" fontId="8" fillId="3" borderId="13" xfId="0" applyFont="1" applyFill="1" applyBorder="1"/>
    <xf numFmtId="9" fontId="8" fillId="3" borderId="14" xfId="1" applyFont="1" applyFill="1" applyBorder="1"/>
    <xf numFmtId="0" fontId="1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5" borderId="0" xfId="0" applyFont="1" applyFill="1"/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9" fontId="16" fillId="5" borderId="0" xfId="0" applyNumberFormat="1" applyFont="1" applyFill="1" applyAlignment="1">
      <alignment horizontal="center"/>
    </xf>
    <xf numFmtId="9" fontId="15" fillId="5" borderId="0" xfId="0" applyNumberFormat="1" applyFont="1" applyFill="1" applyAlignment="1">
      <alignment horizontal="center"/>
    </xf>
    <xf numFmtId="164" fontId="15" fillId="5" borderId="0" xfId="0" applyNumberFormat="1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64" formatCode="_ * #,##0.0_ ;_ * \-#,##0.0_ ;_ * &quot;-&quot;?_ ;_ @_ 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3" formatCode="0%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3" formatCode="0%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  <numFmt numFmtId="164" formatCode="_ * #,##0.0_ ;_ * \-#,##0.0_ ;_ * &quot;-&quot;?_ ;_ @_ "/>
    </dxf>
    <dxf>
      <font>
        <b/>
      </font>
    </dxf>
    <dxf>
      <font>
        <b/>
        <i/>
      </font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font>
        <i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color theme="1"/>
      </font>
      <fill>
        <patternFill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rgb="FF27672F"/>
        </patternFill>
      </fill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Estilo de tabla 1" pivot="0" count="3" xr9:uid="{3AD0B4A0-3E43-470A-B85F-1F3209CE3FF7}">
      <tableStyleElement type="wholeTable" dxfId="17"/>
      <tableStyleElement type="headerRow" dxfId="16"/>
      <tableStyleElement type="firstColumn" dxfId="15"/>
    </tableStyle>
  </tableStyles>
  <colors>
    <mruColors>
      <color rgb="FFDAF6EF"/>
      <color rgb="FFEEF7F8"/>
      <color rgb="FFF7EAE9"/>
      <color rgb="FFFEF1E6"/>
      <color rgb="FFF2F0F6"/>
      <color rgb="FFBD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Participación</c:v>
          </c:tx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22-43D6-9E98-59FFC28471FE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322-43D6-9E98-59FFC28471FE}"/>
              </c:ext>
            </c:extLst>
          </c:dPt>
          <c:cat>
            <c:strRef>
              <c:f>Tabla!$H$6:$H$7</c:f>
              <c:strCache>
                <c:ptCount val="2"/>
                <c:pt idx="0">
                  <c:v>Participando</c:v>
                </c:pt>
                <c:pt idx="1">
                  <c:v>Sin Participar</c:v>
                </c:pt>
              </c:strCache>
            </c:strRef>
          </c:cat>
          <c:val>
            <c:numRef>
              <c:f>Tabla!$J$6:$J$7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22-43D6-9E98-59FFC284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4</xdr:row>
      <xdr:rowOff>38100</xdr:rowOff>
    </xdr:from>
    <xdr:to>
      <xdr:col>11</xdr:col>
      <xdr:colOff>66676</xdr:colOff>
      <xdr:row>7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043243-04D8-0ACF-27FE-2D764C3E9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C639D-369A-47A1-80E7-6CC407B5E71C}" name="Tabla1" displayName="Tabla1" ref="A2:F5" totalsRowCount="1" totalsRowDxfId="12" headerRowBorderDxfId="14" tableBorderDxfId="13">
  <autoFilter ref="A2:F4" xr:uid="{D42C639D-369A-47A1-80E7-6CC407B5E71C}"/>
  <tableColumns count="6">
    <tableColumn id="1" xr3:uid="{61D6B175-9E52-48AE-9E4C-69720732511B}" name="ID" totalsRowLabel="Total" dataDxfId="11" totalsRowDxfId="10"/>
    <tableColumn id="2" xr3:uid="{C4FECDD5-FA09-47E9-9A75-138A2A96C8E7}" name="Nombre" totalsRowFunction="custom" dataDxfId="9" totalsRowDxfId="4">
      <totalsRowFormula>_xlfn.CONCAT(COUNTA(Tabla1[Nombre])," Inscritos")</totalsRowFormula>
    </tableColumn>
    <tableColumn id="3" xr3:uid="{22AD437E-1F4F-4CD2-89C1-98EF5AE45495}" name="Dirección de correo" dataDxfId="8" totalsRowDxfId="3"/>
    <tableColumn id="8" xr3:uid="{4F72647D-2E99-419E-8B42-8526BA9EF79E}" name="Participando" totalsRowFunction="custom" dataDxfId="7" totalsRowDxfId="2">
      <calculatedColumnFormula>Tabla1[[#This Row],[% de Part.]]&gt;0</calculatedColumnFormula>
      <totalsRowFormula>COUNTIF(Tabla1[Participando],TRUE)/COUNTA(Tabla1[Participando])</totalsRowFormula>
    </tableColumn>
    <tableColumn id="5" xr3:uid="{78730820-9925-49CE-9499-87B6ABFAFAF5}" name="% de Part." totalsRowFunction="average" dataDxfId="6" totalsRowDxfId="1" dataCellStyle="Porcentaje"/>
    <tableColumn id="6" xr3:uid="{3BEDA864-88A7-46C0-880A-0ADCBE4E6DEC}" name="Prueba Diag." totalsRowFunction="custom" dataDxfId="5" totalsRowDxfId="0">
      <totalsRowFormula>AVERAGEIF(Tabla1[Prueba Diag.],"&gt;0",Tabla1[Prueba Diag.])</totalsRow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Normal="100" workbookViewId="0">
      <selection activeCell="L16" sqref="L16"/>
    </sheetView>
  </sheetViews>
  <sheetFormatPr baseColWidth="10" defaultColWidth="9.28515625" defaultRowHeight="15" x14ac:dyDescent="0.25"/>
  <cols>
    <col min="1" max="1" width="10.5703125" bestFit="1" customWidth="1"/>
    <col min="2" max="2" width="30.85546875" bestFit="1" customWidth="1"/>
    <col min="3" max="3" width="38.28515625" bestFit="1" customWidth="1"/>
    <col min="4" max="4" width="14.42578125" bestFit="1" customWidth="1"/>
    <col min="5" max="5" width="12.140625" bestFit="1" customWidth="1"/>
    <col min="6" max="6" width="14.42578125" bestFit="1" customWidth="1"/>
    <col min="8" max="8" width="18.85546875" bestFit="1" customWidth="1"/>
    <col min="9" max="11" width="9.28515625" customWidth="1"/>
  </cols>
  <sheetData>
    <row r="1" spans="1:10" x14ac:dyDescent="0.25">
      <c r="A1" s="10" t="s">
        <v>7</v>
      </c>
      <c r="B1" s="11"/>
      <c r="C1" s="12"/>
      <c r="D1" s="14" t="s">
        <v>8</v>
      </c>
      <c r="E1" s="14"/>
    </row>
    <row r="2" spans="1:10" x14ac:dyDescent="0.25">
      <c r="A2" t="s">
        <v>0</v>
      </c>
      <c r="B2" t="s">
        <v>1</v>
      </c>
      <c r="C2" t="s">
        <v>2</v>
      </c>
      <c r="D2" s="1" t="s">
        <v>9</v>
      </c>
      <c r="E2" t="s">
        <v>10</v>
      </c>
      <c r="F2" t="s">
        <v>6</v>
      </c>
    </row>
    <row r="3" spans="1:10" ht="15.75" thickBot="1" x14ac:dyDescent="0.3">
      <c r="A3" s="8"/>
      <c r="B3" s="9"/>
      <c r="C3" s="15"/>
      <c r="D3" s="20" t="b">
        <f>Tabla1[[#This Row],[% de Part.]]&gt;0</f>
        <v>0</v>
      </c>
      <c r="E3" s="13"/>
      <c r="F3" s="16"/>
    </row>
    <row r="4" spans="1:10" ht="15.75" thickBot="1" x14ac:dyDescent="0.3">
      <c r="A4" s="8"/>
      <c r="B4" s="9"/>
      <c r="C4" s="15"/>
      <c r="D4" s="20" t="b">
        <f>Tabla1[[#This Row],[% de Part.]]&gt;0</f>
        <v>0</v>
      </c>
      <c r="E4" s="13"/>
      <c r="F4" s="16"/>
      <c r="H4" s="27" t="s">
        <v>3</v>
      </c>
      <c r="I4" s="28"/>
      <c r="J4" s="29"/>
    </row>
    <row r="5" spans="1:10" ht="15.75" thickBot="1" x14ac:dyDescent="0.3">
      <c r="A5" s="21" t="s">
        <v>4</v>
      </c>
      <c r="B5" s="22" t="str">
        <f>_xlfn.CONCAT(COUNTA(Tabla1[Nombre])," Inscritos")</f>
        <v>0 Inscritos</v>
      </c>
      <c r="C5" s="23"/>
      <c r="D5" s="24">
        <f>COUNTIF(Tabla1[Participando],TRUE)/COUNTA(Tabla1[Participando])</f>
        <v>0</v>
      </c>
      <c r="E5" s="25" t="e">
        <f>SUBTOTAL(101,Tabla1[% de Part.])</f>
        <v>#DIV/0!</v>
      </c>
      <c r="F5" s="26" t="e">
        <f>AVERAGEIF(Tabla1[Prueba Diag.],"&gt;0",Tabla1[Prueba Diag.])</f>
        <v>#DIV/0!</v>
      </c>
      <c r="H5" s="2" t="s">
        <v>4</v>
      </c>
      <c r="I5" s="3">
        <f>COUNTA(Tabla1[Nombre])</f>
        <v>0</v>
      </c>
      <c r="J5" s="4" t="e">
        <f>I5/I5</f>
        <v>#DIV/0!</v>
      </c>
    </row>
    <row r="6" spans="1:10" ht="15.75" thickTop="1" x14ac:dyDescent="0.25">
      <c r="H6" s="5" t="s">
        <v>9</v>
      </c>
      <c r="I6" s="6">
        <f>COUNTIF(Tabla1[Participando],TRUE)</f>
        <v>0</v>
      </c>
      <c r="J6" s="7" t="e">
        <f>I6/I5</f>
        <v>#DIV/0!</v>
      </c>
    </row>
    <row r="7" spans="1:10" ht="15.75" thickBot="1" x14ac:dyDescent="0.3">
      <c r="H7" s="17" t="s">
        <v>5</v>
      </c>
      <c r="I7" s="18">
        <f>COUNTIF(Tabla1[Participando],FALSE)</f>
        <v>2</v>
      </c>
      <c r="J7" s="19" t="e">
        <f>I7/I5</f>
        <v>#DIV/0!</v>
      </c>
    </row>
  </sheetData>
  <mergeCells count="1">
    <mergeCell ref="H4:J4"/>
  </mergeCells>
  <phoneticPr fontId="9" type="noConversion"/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1C48670A-AEBB-49A6-A7C6-C320C0370D92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F3:F4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Burgos</cp:lastModifiedBy>
  <dcterms:created xsi:type="dcterms:W3CDTF">2025-11-10T15:27:31Z</dcterms:created>
  <dcterms:modified xsi:type="dcterms:W3CDTF">2026-08-24T14:10:30Z</dcterms:modified>
</cp:coreProperties>
</file>